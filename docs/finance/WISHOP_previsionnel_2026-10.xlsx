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Mensuel" sheetId="2" state="visible" r:id="rId2"/>
    <sheet name="Annuel" sheetId="3" state="visible" r:id="rId3"/>
    <sheet name="Tableau de bord" sheetId="4" state="visible" r:id="rId4"/>
  </sheets>
  <definedNames>
    <definedName name="nom_projet">'Hypotheses'!$B$5</definedName>
    <definedName name="pays">'Hypotheses'!$B$6</definedName>
    <definedName name="devise">'Hypotheses'!$B$7</definedName>
    <definedName name="clients_initiaux">'Hypotheses'!$B$10</definedName>
    <definedName name="mois_lancement">'Hypotheses'!$B$11</definedName>
    <definedName name="nouveaux_m1">'Hypotheses'!$B$12</definedName>
    <definedName name="croissance_acquisition">'Hypotheses'!$B$13</definedName>
    <definedName name="churn_mensuel">'Hypotheses'!$B$14</definedName>
    <definedName name="hausse_prix_annuelle">'Hypotheses'!$B$17</definedName>
    <definedName name="mois_debut_paiements">'Hypotheses'!$B$18</definedName>
    <definedName name="part_boutiques_paiement">'Hypotheses'!$B$19</definedName>
    <definedName name="volume_b2c_par_client">'Hypotheses'!$B$20</definedName>
    <definedName name="taux_commission">'Hypotheses'!$B$21</definedName>
    <definedName name="taux_tva">'Hypotheses'!$B$24</definedName>
    <definedName name="part_ca_soumis_tva">'Hypotheses'!$B$25</definedName>
    <definedName name="part_achats_avec_tva">'Hypotheses'!$B$26</definedName>
    <definedName name="taux_is">'Hypotheses'!$B$27</definedName>
    <definedName name="taux_minimum_is">'Hypotheses'!$B$28</definedName>
    <definedName name="mois_paiement_is">'Hypotheses'!$B$29</definedName>
    <definedName name="taux_charges_sociales">'Hypotheses'!$B$30</definedName>
    <definedName name="infra_fixe">'Hypotheses'!$B$33</definedName>
    <definedName name="infra_par_client">'Hypotheses'!$B$34</definedName>
    <definedName name="taux_frais_paiement">'Hypotheses'!$B$35</definedName>
    <definedName name="salaires_an1">'Hypotheses'!$B$38</definedName>
    <definedName name="salaires_an2">'Hypotheses'!$B$39</definedName>
    <definedName name="salaires_an3">'Hypotheses'!$B$40</definedName>
    <definedName name="marketing_fixe">'Hypotheses'!$B$41</definedName>
    <definedName name="cac">'Hypotheses'!$B$42</definedName>
    <definedName name="outils_mensuels">'Hypotheses'!$B$43</definedName>
    <definedName name="honoraires_mensuels">'Hypotheses'!$B$44</definedName>
    <definedName name="autres_mensuelles">'Hypotheses'!$B$45</definedName>
    <definedName name="frais_creation">'Hypotheses'!$B$48</definedName>
    <definedName name="investissement_initial">'Hypotheses'!$B$49</definedName>
    <definedName name="duree_amortissement">'Hypotheses'!$B$50</definedName>
    <definedName name="apport_initial">'Hypotheses'!$B$51</definedName>
    <definedName name="arpa_base">'Hypotheses'!$B$58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1F4E9E"/>
    </font>
    <font>
      <b val="1"/>
    </font>
    <font>
      <i val="1"/>
    </font>
    <font/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49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0" fontId="6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4" fontId="4" fillId="3" borderId="0" pivotButton="0" quotePrefix="0" xfId="0"/>
    <xf numFmtId="3" fontId="0" fillId="0" borderId="0" pivotButton="0" quotePrefix="0" xfId="0"/>
    <xf numFmtId="3" fontId="4" fillId="3" borderId="0" pivotButton="0" quotePrefix="0" xfId="0"/>
    <xf numFmtId="164" fontId="4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MRR (XAF)</a:t>
            </a:r>
          </a:p>
        </rich>
      </tx>
    </title>
    <plotArea>
      <lineChart>
        <grouping val="standard"/>
        <ser>
          <idx val="0"/>
          <order val="0"/>
          <tx>
            <strRef>
              <f>'Mensuel'!A9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'Mensuel'!$B$1:$AK$1</f>
            </numRef>
          </cat>
          <val>
            <numRef>
              <f>'Mensuel'!$B$9:$AK$9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Trésorerie fin de mois (XAF)</a:t>
            </a:r>
          </a:p>
        </rich>
      </tx>
    </title>
    <plotArea>
      <lineChart>
        <grouping val="standard"/>
        <ser>
          <idx val="0"/>
          <order val="0"/>
          <tx>
            <strRef>
              <f>'Mensuel'!A33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'Mensuel'!$B$1:$AK$1</f>
            </numRef>
          </cat>
          <val>
            <numRef>
              <f>'Mensuel'!$B$33:$AK$33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4" customWidth="1" min="3" max="3"/>
  </cols>
  <sheetData>
    <row r="1">
      <c r="A1" s="1" t="inlineStr">
        <is>
          <t>Hypothèses — cellules bleues modifiables</t>
        </is>
      </c>
    </row>
    <row r="4">
      <c r="A4" s="2" t="inlineStr">
        <is>
          <t>Projet</t>
        </is>
      </c>
      <c r="B4" s="3" t="n"/>
    </row>
    <row r="5">
      <c r="A5" t="inlineStr">
        <is>
          <t>Nom du projet</t>
        </is>
      </c>
      <c r="B5" s="4" t="inlineStr">
        <is>
          <t>WISHOP</t>
        </is>
      </c>
    </row>
    <row r="6">
      <c r="A6" t="inlineStr">
        <is>
          <t>Pays de la structure</t>
        </is>
      </c>
      <c r="B6" s="4" t="inlineStr">
        <is>
          <t>Guinée équatoriale (autónomo, non assujetti à la TVA)</t>
        </is>
      </c>
    </row>
    <row r="7">
      <c r="A7" t="inlineStr">
        <is>
          <t>Devise</t>
        </is>
      </c>
      <c r="B7" s="4" t="inlineStr">
        <is>
          <t>XAF</t>
        </is>
      </c>
    </row>
    <row r="9">
      <c r="A9" s="2" t="inlineStr">
        <is>
          <t>Clients</t>
        </is>
      </c>
      <c r="B9" s="3" t="n"/>
    </row>
    <row r="10">
      <c r="A10" t="inlineStr">
        <is>
          <t>Clients payants au démarrage</t>
        </is>
      </c>
      <c r="B10" s="5" t="n">
        <v>0</v>
      </c>
    </row>
    <row r="11">
      <c r="A11" t="inlineStr">
        <is>
          <t>Mois du lancement commercial (1 = premier mois)</t>
        </is>
      </c>
      <c r="B11" s="5" t="n">
        <v>1</v>
      </c>
    </row>
    <row r="12">
      <c r="A12" t="inlineStr">
        <is>
          <t>Nouveaux clients le mois du lancement</t>
        </is>
      </c>
      <c r="B12" s="5" t="n">
        <v>5</v>
      </c>
    </row>
    <row r="13">
      <c r="A13" t="inlineStr">
        <is>
          <t>Croissance mensuelle des nouveaux clients</t>
        </is>
      </c>
      <c r="B13" s="6" t="n">
        <v>0.05</v>
      </c>
    </row>
    <row r="14">
      <c r="A14" t="inlineStr">
        <is>
          <t>Churn mensuel (clients perdus / clients début)</t>
        </is>
      </c>
      <c r="B14" s="6" t="n">
        <v>0.05</v>
      </c>
    </row>
    <row r="16">
      <c r="A16" s="2" t="inlineStr">
        <is>
          <t>Revenus</t>
        </is>
      </c>
      <c r="B16" s="3" t="n"/>
    </row>
    <row r="17">
      <c r="A17" t="inlineStr">
        <is>
          <t>Hausse de prix chaque année</t>
        </is>
      </c>
      <c r="B17" s="6" t="n">
        <v>0.2</v>
      </c>
    </row>
    <row r="18">
      <c r="A18" t="inlineStr">
        <is>
          <t>Mois d'ouverture des paiements B2C (0 = jamais)</t>
        </is>
      </c>
      <c r="B18" s="5" t="n">
        <v>0</v>
      </c>
    </row>
    <row r="19">
      <c r="A19" t="inlineStr">
        <is>
          <t>Part des boutiques qui activent le paiement en ligne</t>
        </is>
      </c>
      <c r="B19" s="6" t="n">
        <v>0</v>
      </c>
    </row>
    <row r="20">
      <c r="A20" t="inlineStr">
        <is>
          <t>Volume B2C encaissé par boutique active / mois (HT)</t>
        </is>
      </c>
      <c r="B20" s="7" t="n">
        <v>0</v>
      </c>
    </row>
    <row r="21">
      <c r="A21" t="inlineStr">
        <is>
          <t>Commission prélevée sur le volume B2C</t>
        </is>
      </c>
      <c r="B21" s="6" t="n">
        <v>0</v>
      </c>
    </row>
    <row r="23">
      <c r="A23" s="2" t="inlineStr">
        <is>
          <t>Fiscalité (à confirmer selon le pays)</t>
        </is>
      </c>
      <c r="B23" s="3" t="n"/>
    </row>
    <row r="24">
      <c r="A24" t="inlineStr">
        <is>
          <t>Taux de TVA / IVA (GE : 15 %)</t>
        </is>
      </c>
      <c r="B24" s="6" t="n">
        <v>0</v>
      </c>
    </row>
    <row r="25">
      <c r="A25" t="inlineStr">
        <is>
          <t>Part du CA soumise à TVA locale</t>
        </is>
      </c>
      <c r="B25" s="6" t="n">
        <v>1</v>
      </c>
    </row>
    <row r="26">
      <c r="A26" t="inlineStr">
        <is>
          <t>Part des achats avec TVA déductible</t>
        </is>
      </c>
      <c r="B26" s="6" t="n">
        <v>0</v>
      </c>
    </row>
    <row r="27">
      <c r="A27" t="inlineStr">
        <is>
          <t>Taux de l'impôt sur les sociétés (GE : 25 % depuis 2025)</t>
        </is>
      </c>
      <c r="B27" s="6" t="n">
        <v>0.25</v>
      </c>
    </row>
    <row r="28">
      <c r="A28" t="inlineStr">
        <is>
          <t>Minimum d'imposition (% du CA ; GE : 1,5 %)</t>
        </is>
      </c>
      <c r="B28" s="6" t="n">
        <v>0.015</v>
      </c>
    </row>
    <row r="29">
      <c r="A29" t="inlineStr">
        <is>
          <t>Mois de paiement de l'IS l'année suivante (1-12)</t>
        </is>
      </c>
      <c r="B29" s="5" t="n">
        <v>4</v>
      </c>
    </row>
    <row r="30">
      <c r="A30" t="inlineStr">
        <is>
          <t>Charges sociales patronales (% des salaires)</t>
        </is>
      </c>
      <c r="B30" s="6" t="n">
        <v>0.265</v>
      </c>
    </row>
    <row r="32">
      <c r="A32" s="2" t="inlineStr">
        <is>
          <t>Coûts directs</t>
        </is>
      </c>
      <c r="B32" s="3" t="n"/>
    </row>
    <row r="33">
      <c r="A33" t="inlineStr">
        <is>
          <t>Hébergement / infra fixe par mois</t>
        </is>
      </c>
      <c r="B33" s="7" t="n">
        <v>30000</v>
      </c>
    </row>
    <row r="34">
      <c r="A34" t="inlineStr">
        <is>
          <t>Infra variable par client / mois</t>
        </is>
      </c>
      <c r="B34" s="7" t="n">
        <v>100</v>
      </c>
    </row>
    <row r="35">
      <c r="A35" t="inlineStr">
        <is>
          <t>Frais de paiement (% des encaissements)</t>
        </is>
      </c>
      <c r="B35" s="6" t="n">
        <v>0.01</v>
      </c>
    </row>
    <row r="37">
      <c r="A37" s="2" t="inlineStr">
        <is>
          <t>Charges fixes</t>
        </is>
      </c>
      <c r="B37" s="3" t="n"/>
    </row>
    <row r="38">
      <c r="A38" t="inlineStr">
        <is>
          <t>Salaires bruts mensuels — année 1</t>
        </is>
      </c>
      <c r="B38" s="7" t="n">
        <v>0</v>
      </c>
    </row>
    <row r="39">
      <c r="A39" t="inlineStr">
        <is>
          <t>Salaires bruts mensuels — année 2</t>
        </is>
      </c>
      <c r="B39" s="7" t="n">
        <v>100000</v>
      </c>
    </row>
    <row r="40">
      <c r="A40" t="inlineStr">
        <is>
          <t>Salaires bruts mensuels — année 3</t>
        </is>
      </c>
      <c r="B40" s="7" t="n">
        <v>200000</v>
      </c>
    </row>
    <row r="41">
      <c r="A41" t="inlineStr">
        <is>
          <t>Marketing fixe / mois</t>
        </is>
      </c>
      <c r="B41" s="7" t="n">
        <v>60000</v>
      </c>
    </row>
    <row r="42">
      <c r="A42" t="inlineStr">
        <is>
          <t>Coût d'acquisition par nouveau client (CAC)</t>
        </is>
      </c>
      <c r="B42" s="7" t="n">
        <v>5000</v>
      </c>
    </row>
    <row r="43">
      <c r="A43" t="inlineStr">
        <is>
          <t>Logiciels et outils / mois</t>
        </is>
      </c>
      <c r="B43" s="7" t="n">
        <v>30000</v>
      </c>
    </row>
    <row r="44">
      <c r="A44" t="inlineStr">
        <is>
          <t>Honoraires comptable / juridique / mois</t>
        </is>
      </c>
      <c r="B44" s="7" t="n">
        <v>10000</v>
      </c>
    </row>
    <row r="45">
      <c r="A45" t="inlineStr">
        <is>
          <t>Autres charges / mois</t>
        </is>
      </c>
      <c r="B45" s="7" t="n">
        <v>15000</v>
      </c>
    </row>
    <row r="47">
      <c r="A47" s="2" t="inlineStr">
        <is>
          <t>Investissement et financement</t>
        </is>
      </c>
      <c r="B47" s="3" t="n"/>
    </row>
    <row r="48">
      <c r="A48" t="inlineStr">
        <is>
          <t>Frais de création de la structure (charge du mois 1)</t>
        </is>
      </c>
      <c r="B48" s="7" t="n">
        <v>0</v>
      </c>
    </row>
    <row r="49">
      <c r="A49" t="inlineStr">
        <is>
          <t>Investissement au mois 1 (matériel, dépôt de marque…)</t>
        </is>
      </c>
      <c r="B49" s="7" t="n">
        <v>900000</v>
      </c>
    </row>
    <row r="50">
      <c r="A50" t="inlineStr">
        <is>
          <t>Durée d'amortissement (années)</t>
        </is>
      </c>
      <c r="B50" s="5" t="n">
        <v>10</v>
      </c>
    </row>
    <row r="51">
      <c r="A51" t="inlineStr">
        <is>
          <t>Trésorerie de départ (apport)</t>
        </is>
      </c>
      <c r="B51" s="7" t="n">
        <v>1000000</v>
      </c>
    </row>
    <row r="53">
      <c r="A53" s="2" t="inlineStr">
        <is>
          <t>Offres (prix mensuel HT et répartition des clients)</t>
        </is>
      </c>
      <c r="B53" s="3" t="n"/>
      <c r="C53" s="3" t="n"/>
    </row>
    <row r="54">
      <c r="A54" s="8" t="inlineStr">
        <is>
          <t>Offre</t>
        </is>
      </c>
      <c r="B54" s="8" t="inlineStr">
        <is>
          <t>Prix mensuel HT</t>
        </is>
      </c>
      <c r="C54" s="8" t="inlineStr">
        <is>
          <t>Mix clients</t>
        </is>
      </c>
    </row>
    <row r="55">
      <c r="A55" s="9" t="inlineStr">
        <is>
          <t>Essentiel</t>
        </is>
      </c>
      <c r="B55" s="7" t="n">
        <v>5000</v>
      </c>
      <c r="C55" s="6" t="n">
        <v>0.6</v>
      </c>
    </row>
    <row r="56">
      <c r="A56" s="9" t="inlineStr">
        <is>
          <t>Pro</t>
        </is>
      </c>
      <c r="B56" s="7" t="n">
        <v>12500</v>
      </c>
      <c r="C56" s="6" t="n">
        <v>0.3</v>
      </c>
    </row>
    <row r="57">
      <c r="A57" s="9" t="inlineStr">
        <is>
          <t>Pro Plus</t>
        </is>
      </c>
      <c r="B57" s="7" t="n">
        <v>25000</v>
      </c>
      <c r="C57" s="6" t="n">
        <v>0.1</v>
      </c>
    </row>
    <row r="58">
      <c r="A58" s="8" t="inlineStr">
        <is>
          <t>Revenu moyen par client (ARPA) HT</t>
        </is>
      </c>
      <c r="B58" s="10">
        <f>SUMPRODUCT(B55:B57,C55:C57)/SUM(C55:C57)</f>
        <v/>
      </c>
      <c r="C58" s="11">
        <f>SUM(C55:C57)</f>
        <v/>
      </c>
    </row>
    <row r="60">
      <c r="A60" s="12" t="inlineStr">
        <is>
          <t>Note : les taux fiscaux par défaut sont indicatifs. Vérifie-les pour le pays de la structure avant toute décision.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2" t="inlineStr">
        <is>
          <t>Poste</t>
        </is>
      </c>
      <c r="B1" s="13" t="inlineStr">
        <is>
          <t>M1</t>
        </is>
      </c>
      <c r="C1" s="13" t="inlineStr">
        <is>
          <t>M2</t>
        </is>
      </c>
      <c r="D1" s="13" t="inlineStr">
        <is>
          <t>M3</t>
        </is>
      </c>
      <c r="E1" s="13" t="inlineStr">
        <is>
          <t>M4</t>
        </is>
      </c>
      <c r="F1" s="13" t="inlineStr">
        <is>
          <t>M5</t>
        </is>
      </c>
      <c r="G1" s="13" t="inlineStr">
        <is>
          <t>M6</t>
        </is>
      </c>
      <c r="H1" s="13" t="inlineStr">
        <is>
          <t>M7</t>
        </is>
      </c>
      <c r="I1" s="13" t="inlineStr">
        <is>
          <t>M8</t>
        </is>
      </c>
      <c r="J1" s="13" t="inlineStr">
        <is>
          <t>M9</t>
        </is>
      </c>
      <c r="K1" s="13" t="inlineStr">
        <is>
          <t>M10</t>
        </is>
      </c>
      <c r="L1" s="13" t="inlineStr">
        <is>
          <t>M11</t>
        </is>
      </c>
      <c r="M1" s="13" t="inlineStr">
        <is>
          <t>M12</t>
        </is>
      </c>
      <c r="N1" s="13" t="inlineStr">
        <is>
          <t>M13</t>
        </is>
      </c>
      <c r="O1" s="13" t="inlineStr">
        <is>
          <t>M14</t>
        </is>
      </c>
      <c r="P1" s="13" t="inlineStr">
        <is>
          <t>M15</t>
        </is>
      </c>
      <c r="Q1" s="13" t="inlineStr">
        <is>
          <t>M16</t>
        </is>
      </c>
      <c r="R1" s="13" t="inlineStr">
        <is>
          <t>M17</t>
        </is>
      </c>
      <c r="S1" s="13" t="inlineStr">
        <is>
          <t>M18</t>
        </is>
      </c>
      <c r="T1" s="13" t="inlineStr">
        <is>
          <t>M19</t>
        </is>
      </c>
      <c r="U1" s="13" t="inlineStr">
        <is>
          <t>M20</t>
        </is>
      </c>
      <c r="V1" s="13" t="inlineStr">
        <is>
          <t>M21</t>
        </is>
      </c>
      <c r="W1" s="13" t="inlineStr">
        <is>
          <t>M22</t>
        </is>
      </c>
      <c r="X1" s="13" t="inlineStr">
        <is>
          <t>M23</t>
        </is>
      </c>
      <c r="Y1" s="13" t="inlineStr">
        <is>
          <t>M24</t>
        </is>
      </c>
      <c r="Z1" s="13" t="inlineStr">
        <is>
          <t>M25</t>
        </is>
      </c>
      <c r="AA1" s="13" t="inlineStr">
        <is>
          <t>M26</t>
        </is>
      </c>
      <c r="AB1" s="13" t="inlineStr">
        <is>
          <t>M27</t>
        </is>
      </c>
      <c r="AC1" s="13" t="inlineStr">
        <is>
          <t>M28</t>
        </is>
      </c>
      <c r="AD1" s="13" t="inlineStr">
        <is>
          <t>M29</t>
        </is>
      </c>
      <c r="AE1" s="13" t="inlineStr">
        <is>
          <t>M30</t>
        </is>
      </c>
      <c r="AF1" s="13" t="inlineStr">
        <is>
          <t>M31</t>
        </is>
      </c>
      <c r="AG1" s="13" t="inlineStr">
        <is>
          <t>M32</t>
        </is>
      </c>
      <c r="AH1" s="13" t="inlineStr">
        <is>
          <t>M33</t>
        </is>
      </c>
      <c r="AI1" s="13" t="inlineStr">
        <is>
          <t>M34</t>
        </is>
      </c>
      <c r="AJ1" s="13" t="inlineStr">
        <is>
          <t>M35</t>
        </is>
      </c>
      <c r="AK1" s="13" t="inlineStr">
        <is>
          <t>M36</t>
        </is>
      </c>
    </row>
    <row r="2">
      <c r="A2" s="14" t="inlineStr">
        <is>
          <t>Mois n°</t>
        </is>
      </c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9</v>
      </c>
      <c r="K2" s="15" t="n">
        <v>10</v>
      </c>
      <c r="L2" s="15" t="n">
        <v>11</v>
      </c>
      <c r="M2" s="15" t="n">
        <v>12</v>
      </c>
      <c r="N2" s="15" t="n">
        <v>13</v>
      </c>
      <c r="O2" s="15" t="n">
        <v>14</v>
      </c>
      <c r="P2" s="15" t="n">
        <v>15</v>
      </c>
      <c r="Q2" s="15" t="n">
        <v>16</v>
      </c>
      <c r="R2" s="15" t="n">
        <v>17</v>
      </c>
      <c r="S2" s="15" t="n">
        <v>18</v>
      </c>
      <c r="T2" s="15" t="n">
        <v>19</v>
      </c>
      <c r="U2" s="15" t="n">
        <v>20</v>
      </c>
      <c r="V2" s="15" t="n">
        <v>21</v>
      </c>
      <c r="W2" s="15" t="n">
        <v>22</v>
      </c>
      <c r="X2" s="15" t="n">
        <v>23</v>
      </c>
      <c r="Y2" s="15" t="n">
        <v>24</v>
      </c>
      <c r="Z2" s="15" t="n">
        <v>25</v>
      </c>
      <c r="AA2" s="15" t="n">
        <v>26</v>
      </c>
      <c r="AB2" s="15" t="n">
        <v>27</v>
      </c>
      <c r="AC2" s="15" t="n">
        <v>28</v>
      </c>
      <c r="AD2" s="15" t="n">
        <v>29</v>
      </c>
      <c r="AE2" s="15" t="n">
        <v>30</v>
      </c>
      <c r="AF2" s="15" t="n">
        <v>31</v>
      </c>
      <c r="AG2" s="15" t="n">
        <v>32</v>
      </c>
      <c r="AH2" s="15" t="n">
        <v>33</v>
      </c>
      <c r="AI2" s="15" t="n">
        <v>34</v>
      </c>
      <c r="AJ2" s="15" t="n">
        <v>35</v>
      </c>
      <c r="AK2" s="15" t="n">
        <v>36</v>
      </c>
    </row>
    <row r="3">
      <c r="A3" s="14" t="inlineStr">
        <is>
          <t>Année</t>
        </is>
      </c>
      <c r="B3" s="15">
        <f>INT((B2-1)/12)+1</f>
        <v/>
      </c>
      <c r="C3" s="15">
        <f>INT((C2-1)/12)+1</f>
        <v/>
      </c>
      <c r="D3" s="15">
        <f>INT((D2-1)/12)+1</f>
        <v/>
      </c>
      <c r="E3" s="15">
        <f>INT((E2-1)/12)+1</f>
        <v/>
      </c>
      <c r="F3" s="15">
        <f>INT((F2-1)/12)+1</f>
        <v/>
      </c>
      <c r="G3" s="15">
        <f>INT((G2-1)/12)+1</f>
        <v/>
      </c>
      <c r="H3" s="15">
        <f>INT((H2-1)/12)+1</f>
        <v/>
      </c>
      <c r="I3" s="15">
        <f>INT((I2-1)/12)+1</f>
        <v/>
      </c>
      <c r="J3" s="15">
        <f>INT((J2-1)/12)+1</f>
        <v/>
      </c>
      <c r="K3" s="15">
        <f>INT((K2-1)/12)+1</f>
        <v/>
      </c>
      <c r="L3" s="15">
        <f>INT((L2-1)/12)+1</f>
        <v/>
      </c>
      <c r="M3" s="15">
        <f>INT((M2-1)/12)+1</f>
        <v/>
      </c>
      <c r="N3" s="15">
        <f>INT((N2-1)/12)+1</f>
        <v/>
      </c>
      <c r="O3" s="15">
        <f>INT((O2-1)/12)+1</f>
        <v/>
      </c>
      <c r="P3" s="15">
        <f>INT((P2-1)/12)+1</f>
        <v/>
      </c>
      <c r="Q3" s="15">
        <f>INT((Q2-1)/12)+1</f>
        <v/>
      </c>
      <c r="R3" s="15">
        <f>INT((R2-1)/12)+1</f>
        <v/>
      </c>
      <c r="S3" s="15">
        <f>INT((S2-1)/12)+1</f>
        <v/>
      </c>
      <c r="T3" s="15">
        <f>INT((T2-1)/12)+1</f>
        <v/>
      </c>
      <c r="U3" s="15">
        <f>INT((U2-1)/12)+1</f>
        <v/>
      </c>
      <c r="V3" s="15">
        <f>INT((V2-1)/12)+1</f>
        <v/>
      </c>
      <c r="W3" s="15">
        <f>INT((W2-1)/12)+1</f>
        <v/>
      </c>
      <c r="X3" s="15">
        <f>INT((X2-1)/12)+1</f>
        <v/>
      </c>
      <c r="Y3" s="15">
        <f>INT((Y2-1)/12)+1</f>
        <v/>
      </c>
      <c r="Z3" s="15">
        <f>INT((Z2-1)/12)+1</f>
        <v/>
      </c>
      <c r="AA3" s="15">
        <f>INT((AA2-1)/12)+1</f>
        <v/>
      </c>
      <c r="AB3" s="15">
        <f>INT((AB2-1)/12)+1</f>
        <v/>
      </c>
      <c r="AC3" s="15">
        <f>INT((AC2-1)/12)+1</f>
        <v/>
      </c>
      <c r="AD3" s="15">
        <f>INT((AD2-1)/12)+1</f>
        <v/>
      </c>
      <c r="AE3" s="15">
        <f>INT((AE2-1)/12)+1</f>
        <v/>
      </c>
      <c r="AF3" s="15">
        <f>INT((AF2-1)/12)+1</f>
        <v/>
      </c>
      <c r="AG3" s="15">
        <f>INT((AG2-1)/12)+1</f>
        <v/>
      </c>
      <c r="AH3" s="15">
        <f>INT((AH2-1)/12)+1</f>
        <v/>
      </c>
      <c r="AI3" s="15">
        <f>INT((AI2-1)/12)+1</f>
        <v/>
      </c>
      <c r="AJ3" s="15">
        <f>INT((AJ2-1)/12)+1</f>
        <v/>
      </c>
      <c r="AK3" s="15">
        <f>INT((AK2-1)/12)+1</f>
        <v/>
      </c>
    </row>
    <row r="4">
      <c r="A4" s="14" t="inlineStr">
        <is>
          <t>Nouveaux clients</t>
        </is>
      </c>
      <c r="B4" s="16">
        <f>IF(B2&lt;mois_lancement,0,nouveaux_m1*(1+croissance_acquisition)^(B2-mois_lancement))</f>
        <v/>
      </c>
      <c r="C4" s="16">
        <f>IF(C2&lt;mois_lancement,0,nouveaux_m1*(1+croissance_acquisition)^(C2-mois_lancement))</f>
        <v/>
      </c>
      <c r="D4" s="16">
        <f>IF(D2&lt;mois_lancement,0,nouveaux_m1*(1+croissance_acquisition)^(D2-mois_lancement))</f>
        <v/>
      </c>
      <c r="E4" s="16">
        <f>IF(E2&lt;mois_lancement,0,nouveaux_m1*(1+croissance_acquisition)^(E2-mois_lancement))</f>
        <v/>
      </c>
      <c r="F4" s="16">
        <f>IF(F2&lt;mois_lancement,0,nouveaux_m1*(1+croissance_acquisition)^(F2-mois_lancement))</f>
        <v/>
      </c>
      <c r="G4" s="16">
        <f>IF(G2&lt;mois_lancement,0,nouveaux_m1*(1+croissance_acquisition)^(G2-mois_lancement))</f>
        <v/>
      </c>
      <c r="H4" s="16">
        <f>IF(H2&lt;mois_lancement,0,nouveaux_m1*(1+croissance_acquisition)^(H2-mois_lancement))</f>
        <v/>
      </c>
      <c r="I4" s="16">
        <f>IF(I2&lt;mois_lancement,0,nouveaux_m1*(1+croissance_acquisition)^(I2-mois_lancement))</f>
        <v/>
      </c>
      <c r="J4" s="16">
        <f>IF(J2&lt;mois_lancement,0,nouveaux_m1*(1+croissance_acquisition)^(J2-mois_lancement))</f>
        <v/>
      </c>
      <c r="K4" s="16">
        <f>IF(K2&lt;mois_lancement,0,nouveaux_m1*(1+croissance_acquisition)^(K2-mois_lancement))</f>
        <v/>
      </c>
      <c r="L4" s="16">
        <f>IF(L2&lt;mois_lancement,0,nouveaux_m1*(1+croissance_acquisition)^(L2-mois_lancement))</f>
        <v/>
      </c>
      <c r="M4" s="16">
        <f>IF(M2&lt;mois_lancement,0,nouveaux_m1*(1+croissance_acquisition)^(M2-mois_lancement))</f>
        <v/>
      </c>
      <c r="N4" s="16">
        <f>IF(N2&lt;mois_lancement,0,nouveaux_m1*(1+croissance_acquisition)^(N2-mois_lancement))</f>
        <v/>
      </c>
      <c r="O4" s="16">
        <f>IF(O2&lt;mois_lancement,0,nouveaux_m1*(1+croissance_acquisition)^(O2-mois_lancement))</f>
        <v/>
      </c>
      <c r="P4" s="16">
        <f>IF(P2&lt;mois_lancement,0,nouveaux_m1*(1+croissance_acquisition)^(P2-mois_lancement))</f>
        <v/>
      </c>
      <c r="Q4" s="16">
        <f>IF(Q2&lt;mois_lancement,0,nouveaux_m1*(1+croissance_acquisition)^(Q2-mois_lancement))</f>
        <v/>
      </c>
      <c r="R4" s="16">
        <f>IF(R2&lt;mois_lancement,0,nouveaux_m1*(1+croissance_acquisition)^(R2-mois_lancement))</f>
        <v/>
      </c>
      <c r="S4" s="16">
        <f>IF(S2&lt;mois_lancement,0,nouveaux_m1*(1+croissance_acquisition)^(S2-mois_lancement))</f>
        <v/>
      </c>
      <c r="T4" s="16">
        <f>IF(T2&lt;mois_lancement,0,nouveaux_m1*(1+croissance_acquisition)^(T2-mois_lancement))</f>
        <v/>
      </c>
      <c r="U4" s="16">
        <f>IF(U2&lt;mois_lancement,0,nouveaux_m1*(1+croissance_acquisition)^(U2-mois_lancement))</f>
        <v/>
      </c>
      <c r="V4" s="16">
        <f>IF(V2&lt;mois_lancement,0,nouveaux_m1*(1+croissance_acquisition)^(V2-mois_lancement))</f>
        <v/>
      </c>
      <c r="W4" s="16">
        <f>IF(W2&lt;mois_lancement,0,nouveaux_m1*(1+croissance_acquisition)^(W2-mois_lancement))</f>
        <v/>
      </c>
      <c r="X4" s="16">
        <f>IF(X2&lt;mois_lancement,0,nouveaux_m1*(1+croissance_acquisition)^(X2-mois_lancement))</f>
        <v/>
      </c>
      <c r="Y4" s="16">
        <f>IF(Y2&lt;mois_lancement,0,nouveaux_m1*(1+croissance_acquisition)^(Y2-mois_lancement))</f>
        <v/>
      </c>
      <c r="Z4" s="16">
        <f>IF(Z2&lt;mois_lancement,0,nouveaux_m1*(1+croissance_acquisition)^(Z2-mois_lancement))</f>
        <v/>
      </c>
      <c r="AA4" s="16">
        <f>IF(AA2&lt;mois_lancement,0,nouveaux_m1*(1+croissance_acquisition)^(AA2-mois_lancement))</f>
        <v/>
      </c>
      <c r="AB4" s="16">
        <f>IF(AB2&lt;mois_lancement,0,nouveaux_m1*(1+croissance_acquisition)^(AB2-mois_lancement))</f>
        <v/>
      </c>
      <c r="AC4" s="16">
        <f>IF(AC2&lt;mois_lancement,0,nouveaux_m1*(1+croissance_acquisition)^(AC2-mois_lancement))</f>
        <v/>
      </c>
      <c r="AD4" s="16">
        <f>IF(AD2&lt;mois_lancement,0,nouveaux_m1*(1+croissance_acquisition)^(AD2-mois_lancement))</f>
        <v/>
      </c>
      <c r="AE4" s="16">
        <f>IF(AE2&lt;mois_lancement,0,nouveaux_m1*(1+croissance_acquisition)^(AE2-mois_lancement))</f>
        <v/>
      </c>
      <c r="AF4" s="16">
        <f>IF(AF2&lt;mois_lancement,0,nouveaux_m1*(1+croissance_acquisition)^(AF2-mois_lancement))</f>
        <v/>
      </c>
      <c r="AG4" s="16">
        <f>IF(AG2&lt;mois_lancement,0,nouveaux_m1*(1+croissance_acquisition)^(AG2-mois_lancement))</f>
        <v/>
      </c>
      <c r="AH4" s="16">
        <f>IF(AH2&lt;mois_lancement,0,nouveaux_m1*(1+croissance_acquisition)^(AH2-mois_lancement))</f>
        <v/>
      </c>
      <c r="AI4" s="16">
        <f>IF(AI2&lt;mois_lancement,0,nouveaux_m1*(1+croissance_acquisition)^(AI2-mois_lancement))</f>
        <v/>
      </c>
      <c r="AJ4" s="16">
        <f>IF(AJ2&lt;mois_lancement,0,nouveaux_m1*(1+croissance_acquisition)^(AJ2-mois_lancement))</f>
        <v/>
      </c>
      <c r="AK4" s="16">
        <f>IF(AK2&lt;mois_lancement,0,nouveaux_m1*(1+croissance_acquisition)^(AK2-mois_lancement))</f>
        <v/>
      </c>
    </row>
    <row r="5">
      <c r="A5" s="14" t="inlineStr">
        <is>
          <t>Clients en début de mois</t>
        </is>
      </c>
      <c r="B5" s="16">
        <f>clients_initiaux</f>
        <v/>
      </c>
      <c r="C5" s="16">
        <f>B7</f>
        <v/>
      </c>
      <c r="D5" s="16">
        <f>C7</f>
        <v/>
      </c>
      <c r="E5" s="16">
        <f>D7</f>
        <v/>
      </c>
      <c r="F5" s="16">
        <f>E7</f>
        <v/>
      </c>
      <c r="G5" s="16">
        <f>F7</f>
        <v/>
      </c>
      <c r="H5" s="16">
        <f>G7</f>
        <v/>
      </c>
      <c r="I5" s="16">
        <f>H7</f>
        <v/>
      </c>
      <c r="J5" s="16">
        <f>I7</f>
        <v/>
      </c>
      <c r="K5" s="16">
        <f>J7</f>
        <v/>
      </c>
      <c r="L5" s="16">
        <f>K7</f>
        <v/>
      </c>
      <c r="M5" s="16">
        <f>L7</f>
        <v/>
      </c>
      <c r="N5" s="16">
        <f>M7</f>
        <v/>
      </c>
      <c r="O5" s="16">
        <f>N7</f>
        <v/>
      </c>
      <c r="P5" s="16">
        <f>O7</f>
        <v/>
      </c>
      <c r="Q5" s="16">
        <f>P7</f>
        <v/>
      </c>
      <c r="R5" s="16">
        <f>Q7</f>
        <v/>
      </c>
      <c r="S5" s="16">
        <f>R7</f>
        <v/>
      </c>
      <c r="T5" s="16">
        <f>S7</f>
        <v/>
      </c>
      <c r="U5" s="16">
        <f>T7</f>
        <v/>
      </c>
      <c r="V5" s="16">
        <f>U7</f>
        <v/>
      </c>
      <c r="W5" s="16">
        <f>V7</f>
        <v/>
      </c>
      <c r="X5" s="16">
        <f>W7</f>
        <v/>
      </c>
      <c r="Y5" s="16">
        <f>X7</f>
        <v/>
      </c>
      <c r="Z5" s="16">
        <f>Y7</f>
        <v/>
      </c>
      <c r="AA5" s="16">
        <f>Z7</f>
        <v/>
      </c>
      <c r="AB5" s="16">
        <f>AA7</f>
        <v/>
      </c>
      <c r="AC5" s="16">
        <f>AB7</f>
        <v/>
      </c>
      <c r="AD5" s="16">
        <f>AC7</f>
        <v/>
      </c>
      <c r="AE5" s="16">
        <f>AD7</f>
        <v/>
      </c>
      <c r="AF5" s="16">
        <f>AE7</f>
        <v/>
      </c>
      <c r="AG5" s="16">
        <f>AF7</f>
        <v/>
      </c>
      <c r="AH5" s="16">
        <f>AG7</f>
        <v/>
      </c>
      <c r="AI5" s="16">
        <f>AH7</f>
        <v/>
      </c>
      <c r="AJ5" s="16">
        <f>AI7</f>
        <v/>
      </c>
      <c r="AK5" s="16">
        <f>AJ7</f>
        <v/>
      </c>
    </row>
    <row r="6">
      <c r="A6" s="14" t="inlineStr">
        <is>
          <t>Clients perdus (churn)</t>
        </is>
      </c>
      <c r="B6" s="16">
        <f>B5*churn_mensuel</f>
        <v/>
      </c>
      <c r="C6" s="16">
        <f>C5*churn_mensuel</f>
        <v/>
      </c>
      <c r="D6" s="16">
        <f>D5*churn_mensuel</f>
        <v/>
      </c>
      <c r="E6" s="16">
        <f>E5*churn_mensuel</f>
        <v/>
      </c>
      <c r="F6" s="16">
        <f>F5*churn_mensuel</f>
        <v/>
      </c>
      <c r="G6" s="16">
        <f>G5*churn_mensuel</f>
        <v/>
      </c>
      <c r="H6" s="16">
        <f>H5*churn_mensuel</f>
        <v/>
      </c>
      <c r="I6" s="16">
        <f>I5*churn_mensuel</f>
        <v/>
      </c>
      <c r="J6" s="16">
        <f>J5*churn_mensuel</f>
        <v/>
      </c>
      <c r="K6" s="16">
        <f>K5*churn_mensuel</f>
        <v/>
      </c>
      <c r="L6" s="16">
        <f>L5*churn_mensuel</f>
        <v/>
      </c>
      <c r="M6" s="16">
        <f>M5*churn_mensuel</f>
        <v/>
      </c>
      <c r="N6" s="16">
        <f>N5*churn_mensuel</f>
        <v/>
      </c>
      <c r="O6" s="16">
        <f>O5*churn_mensuel</f>
        <v/>
      </c>
      <c r="P6" s="16">
        <f>P5*churn_mensuel</f>
        <v/>
      </c>
      <c r="Q6" s="16">
        <f>Q5*churn_mensuel</f>
        <v/>
      </c>
      <c r="R6" s="16">
        <f>R5*churn_mensuel</f>
        <v/>
      </c>
      <c r="S6" s="16">
        <f>S5*churn_mensuel</f>
        <v/>
      </c>
      <c r="T6" s="16">
        <f>T5*churn_mensuel</f>
        <v/>
      </c>
      <c r="U6" s="16">
        <f>U5*churn_mensuel</f>
        <v/>
      </c>
      <c r="V6" s="16">
        <f>V5*churn_mensuel</f>
        <v/>
      </c>
      <c r="W6" s="16">
        <f>W5*churn_mensuel</f>
        <v/>
      </c>
      <c r="X6" s="16">
        <f>X5*churn_mensuel</f>
        <v/>
      </c>
      <c r="Y6" s="16">
        <f>Y5*churn_mensuel</f>
        <v/>
      </c>
      <c r="Z6" s="16">
        <f>Z5*churn_mensuel</f>
        <v/>
      </c>
      <c r="AA6" s="16">
        <f>AA5*churn_mensuel</f>
        <v/>
      </c>
      <c r="AB6" s="16">
        <f>AB5*churn_mensuel</f>
        <v/>
      </c>
      <c r="AC6" s="16">
        <f>AC5*churn_mensuel</f>
        <v/>
      </c>
      <c r="AD6" s="16">
        <f>AD5*churn_mensuel</f>
        <v/>
      </c>
      <c r="AE6" s="16">
        <f>AE5*churn_mensuel</f>
        <v/>
      </c>
      <c r="AF6" s="16">
        <f>AF5*churn_mensuel</f>
        <v/>
      </c>
      <c r="AG6" s="16">
        <f>AG5*churn_mensuel</f>
        <v/>
      </c>
      <c r="AH6" s="16">
        <f>AH5*churn_mensuel</f>
        <v/>
      </c>
      <c r="AI6" s="16">
        <f>AI5*churn_mensuel</f>
        <v/>
      </c>
      <c r="AJ6" s="16">
        <f>AJ5*churn_mensuel</f>
        <v/>
      </c>
      <c r="AK6" s="16">
        <f>AK5*churn_mensuel</f>
        <v/>
      </c>
    </row>
    <row r="7">
      <c r="A7" s="8" t="inlineStr">
        <is>
          <t>Clients en fin de mois</t>
        </is>
      </c>
      <c r="B7" s="17">
        <f>B5+B4-B6</f>
        <v/>
      </c>
      <c r="C7" s="17">
        <f>C5+C4-C6</f>
        <v/>
      </c>
      <c r="D7" s="17">
        <f>D5+D4-D6</f>
        <v/>
      </c>
      <c r="E7" s="17">
        <f>E5+E4-E6</f>
        <v/>
      </c>
      <c r="F7" s="17">
        <f>F5+F4-F6</f>
        <v/>
      </c>
      <c r="G7" s="17">
        <f>G5+G4-G6</f>
        <v/>
      </c>
      <c r="H7" s="17">
        <f>H5+H4-H6</f>
        <v/>
      </c>
      <c r="I7" s="17">
        <f>I5+I4-I6</f>
        <v/>
      </c>
      <c r="J7" s="17">
        <f>J5+J4-J6</f>
        <v/>
      </c>
      <c r="K7" s="17">
        <f>K5+K4-K6</f>
        <v/>
      </c>
      <c r="L7" s="17">
        <f>L5+L4-L6</f>
        <v/>
      </c>
      <c r="M7" s="17">
        <f>M5+M4-M6</f>
        <v/>
      </c>
      <c r="N7" s="17">
        <f>N5+N4-N6</f>
        <v/>
      </c>
      <c r="O7" s="17">
        <f>O5+O4-O6</f>
        <v/>
      </c>
      <c r="P7" s="17">
        <f>P5+P4-P6</f>
        <v/>
      </c>
      <c r="Q7" s="17">
        <f>Q5+Q4-Q6</f>
        <v/>
      </c>
      <c r="R7" s="17">
        <f>R5+R4-R6</f>
        <v/>
      </c>
      <c r="S7" s="17">
        <f>S5+S4-S6</f>
        <v/>
      </c>
      <c r="T7" s="17">
        <f>T5+T4-T6</f>
        <v/>
      </c>
      <c r="U7" s="17">
        <f>U5+U4-U6</f>
        <v/>
      </c>
      <c r="V7" s="17">
        <f>V5+V4-V6</f>
        <v/>
      </c>
      <c r="W7" s="17">
        <f>W5+W4-W6</f>
        <v/>
      </c>
      <c r="X7" s="17">
        <f>X5+X4-X6</f>
        <v/>
      </c>
      <c r="Y7" s="17">
        <f>Y5+Y4-Y6</f>
        <v/>
      </c>
      <c r="Z7" s="17">
        <f>Z5+Z4-Z6</f>
        <v/>
      </c>
      <c r="AA7" s="17">
        <f>AA5+AA4-AA6</f>
        <v/>
      </c>
      <c r="AB7" s="17">
        <f>AB5+AB4-AB6</f>
        <v/>
      </c>
      <c r="AC7" s="17">
        <f>AC5+AC4-AC6</f>
        <v/>
      </c>
      <c r="AD7" s="17">
        <f>AD5+AD4-AD6</f>
        <v/>
      </c>
      <c r="AE7" s="17">
        <f>AE5+AE4-AE6</f>
        <v/>
      </c>
      <c r="AF7" s="17">
        <f>AF5+AF4-AF6</f>
        <v/>
      </c>
      <c r="AG7" s="17">
        <f>AG5+AG4-AG6</f>
        <v/>
      </c>
      <c r="AH7" s="17">
        <f>AH5+AH4-AH6</f>
        <v/>
      </c>
      <c r="AI7" s="17">
        <f>AI5+AI4-AI6</f>
        <v/>
      </c>
      <c r="AJ7" s="17">
        <f>AJ5+AJ4-AJ6</f>
        <v/>
      </c>
      <c r="AK7" s="17">
        <f>AK5+AK4-AK6</f>
        <v/>
      </c>
    </row>
    <row r="8">
      <c r="A8" s="14" t="inlineStr">
        <is>
          <t>ARPA HT</t>
        </is>
      </c>
      <c r="B8" s="18">
        <f>arpa_base*(1+hausse_prix_annuelle)^(B3-1)</f>
        <v/>
      </c>
      <c r="C8" s="18">
        <f>arpa_base*(1+hausse_prix_annuelle)^(C3-1)</f>
        <v/>
      </c>
      <c r="D8" s="18">
        <f>arpa_base*(1+hausse_prix_annuelle)^(D3-1)</f>
        <v/>
      </c>
      <c r="E8" s="18">
        <f>arpa_base*(1+hausse_prix_annuelle)^(E3-1)</f>
        <v/>
      </c>
      <c r="F8" s="18">
        <f>arpa_base*(1+hausse_prix_annuelle)^(F3-1)</f>
        <v/>
      </c>
      <c r="G8" s="18">
        <f>arpa_base*(1+hausse_prix_annuelle)^(G3-1)</f>
        <v/>
      </c>
      <c r="H8" s="18">
        <f>arpa_base*(1+hausse_prix_annuelle)^(H3-1)</f>
        <v/>
      </c>
      <c r="I8" s="18">
        <f>arpa_base*(1+hausse_prix_annuelle)^(I3-1)</f>
        <v/>
      </c>
      <c r="J8" s="18">
        <f>arpa_base*(1+hausse_prix_annuelle)^(J3-1)</f>
        <v/>
      </c>
      <c r="K8" s="18">
        <f>arpa_base*(1+hausse_prix_annuelle)^(K3-1)</f>
        <v/>
      </c>
      <c r="L8" s="18">
        <f>arpa_base*(1+hausse_prix_annuelle)^(L3-1)</f>
        <v/>
      </c>
      <c r="M8" s="18">
        <f>arpa_base*(1+hausse_prix_annuelle)^(M3-1)</f>
        <v/>
      </c>
      <c r="N8" s="18">
        <f>arpa_base*(1+hausse_prix_annuelle)^(N3-1)</f>
        <v/>
      </c>
      <c r="O8" s="18">
        <f>arpa_base*(1+hausse_prix_annuelle)^(O3-1)</f>
        <v/>
      </c>
      <c r="P8" s="18">
        <f>arpa_base*(1+hausse_prix_annuelle)^(P3-1)</f>
        <v/>
      </c>
      <c r="Q8" s="18">
        <f>arpa_base*(1+hausse_prix_annuelle)^(Q3-1)</f>
        <v/>
      </c>
      <c r="R8" s="18">
        <f>arpa_base*(1+hausse_prix_annuelle)^(R3-1)</f>
        <v/>
      </c>
      <c r="S8" s="18">
        <f>arpa_base*(1+hausse_prix_annuelle)^(S3-1)</f>
        <v/>
      </c>
      <c r="T8" s="18">
        <f>arpa_base*(1+hausse_prix_annuelle)^(T3-1)</f>
        <v/>
      </c>
      <c r="U8" s="18">
        <f>arpa_base*(1+hausse_prix_annuelle)^(U3-1)</f>
        <v/>
      </c>
      <c r="V8" s="18">
        <f>arpa_base*(1+hausse_prix_annuelle)^(V3-1)</f>
        <v/>
      </c>
      <c r="W8" s="18">
        <f>arpa_base*(1+hausse_prix_annuelle)^(W3-1)</f>
        <v/>
      </c>
      <c r="X8" s="18">
        <f>arpa_base*(1+hausse_prix_annuelle)^(X3-1)</f>
        <v/>
      </c>
      <c r="Y8" s="18">
        <f>arpa_base*(1+hausse_prix_annuelle)^(Y3-1)</f>
        <v/>
      </c>
      <c r="Z8" s="18">
        <f>arpa_base*(1+hausse_prix_annuelle)^(Z3-1)</f>
        <v/>
      </c>
      <c r="AA8" s="18">
        <f>arpa_base*(1+hausse_prix_annuelle)^(AA3-1)</f>
        <v/>
      </c>
      <c r="AB8" s="18">
        <f>arpa_base*(1+hausse_prix_annuelle)^(AB3-1)</f>
        <v/>
      </c>
      <c r="AC8" s="18">
        <f>arpa_base*(1+hausse_prix_annuelle)^(AC3-1)</f>
        <v/>
      </c>
      <c r="AD8" s="18">
        <f>arpa_base*(1+hausse_prix_annuelle)^(AD3-1)</f>
        <v/>
      </c>
      <c r="AE8" s="18">
        <f>arpa_base*(1+hausse_prix_annuelle)^(AE3-1)</f>
        <v/>
      </c>
      <c r="AF8" s="18">
        <f>arpa_base*(1+hausse_prix_annuelle)^(AF3-1)</f>
        <v/>
      </c>
      <c r="AG8" s="18">
        <f>arpa_base*(1+hausse_prix_annuelle)^(AG3-1)</f>
        <v/>
      </c>
      <c r="AH8" s="18">
        <f>arpa_base*(1+hausse_prix_annuelle)^(AH3-1)</f>
        <v/>
      </c>
      <c r="AI8" s="18">
        <f>arpa_base*(1+hausse_prix_annuelle)^(AI3-1)</f>
        <v/>
      </c>
      <c r="AJ8" s="18">
        <f>arpa_base*(1+hausse_prix_annuelle)^(AJ3-1)</f>
        <v/>
      </c>
      <c r="AK8" s="18">
        <f>arpa_base*(1+hausse_prix_annuelle)^(AK3-1)</f>
        <v/>
      </c>
    </row>
    <row r="9">
      <c r="A9" s="8" t="inlineStr">
        <is>
          <t>MRR — CA abonnements HT</t>
        </is>
      </c>
      <c r="B9" s="19">
        <f>B7*B8</f>
        <v/>
      </c>
      <c r="C9" s="19">
        <f>C7*C8</f>
        <v/>
      </c>
      <c r="D9" s="19">
        <f>D7*D8</f>
        <v/>
      </c>
      <c r="E9" s="19">
        <f>E7*E8</f>
        <v/>
      </c>
      <c r="F9" s="19">
        <f>F7*F8</f>
        <v/>
      </c>
      <c r="G9" s="19">
        <f>G7*G8</f>
        <v/>
      </c>
      <c r="H9" s="19">
        <f>H7*H8</f>
        <v/>
      </c>
      <c r="I9" s="19">
        <f>I7*I8</f>
        <v/>
      </c>
      <c r="J9" s="19">
        <f>J7*J8</f>
        <v/>
      </c>
      <c r="K9" s="19">
        <f>K7*K8</f>
        <v/>
      </c>
      <c r="L9" s="19">
        <f>L7*L8</f>
        <v/>
      </c>
      <c r="M9" s="19">
        <f>M7*M8</f>
        <v/>
      </c>
      <c r="N9" s="19">
        <f>N7*N8</f>
        <v/>
      </c>
      <c r="O9" s="19">
        <f>O7*O8</f>
        <v/>
      </c>
      <c r="P9" s="19">
        <f>P7*P8</f>
        <v/>
      </c>
      <c r="Q9" s="19">
        <f>Q7*Q8</f>
        <v/>
      </c>
      <c r="R9" s="19">
        <f>R7*R8</f>
        <v/>
      </c>
      <c r="S9" s="19">
        <f>S7*S8</f>
        <v/>
      </c>
      <c r="T9" s="19">
        <f>T7*T8</f>
        <v/>
      </c>
      <c r="U9" s="19">
        <f>U7*U8</f>
        <v/>
      </c>
      <c r="V9" s="19">
        <f>V7*V8</f>
        <v/>
      </c>
      <c r="W9" s="19">
        <f>W7*W8</f>
        <v/>
      </c>
      <c r="X9" s="19">
        <f>X7*X8</f>
        <v/>
      </c>
      <c r="Y9" s="19">
        <f>Y7*Y8</f>
        <v/>
      </c>
      <c r="Z9" s="19">
        <f>Z7*Z8</f>
        <v/>
      </c>
      <c r="AA9" s="19">
        <f>AA7*AA8</f>
        <v/>
      </c>
      <c r="AB9" s="19">
        <f>AB7*AB8</f>
        <v/>
      </c>
      <c r="AC9" s="19">
        <f>AC7*AC8</f>
        <v/>
      </c>
      <c r="AD9" s="19">
        <f>AD7*AD8</f>
        <v/>
      </c>
      <c r="AE9" s="19">
        <f>AE7*AE8</f>
        <v/>
      </c>
      <c r="AF9" s="19">
        <f>AF7*AF8</f>
        <v/>
      </c>
      <c r="AG9" s="19">
        <f>AG7*AG8</f>
        <v/>
      </c>
      <c r="AH9" s="19">
        <f>AH7*AH8</f>
        <v/>
      </c>
      <c r="AI9" s="19">
        <f>AI7*AI8</f>
        <v/>
      </c>
      <c r="AJ9" s="19">
        <f>AJ7*AJ8</f>
        <v/>
      </c>
      <c r="AK9" s="19">
        <f>AK7*AK8</f>
        <v/>
      </c>
    </row>
    <row r="10">
      <c r="A10" s="14" t="inlineStr">
        <is>
          <t>Commissions sur paiements B2C HT</t>
        </is>
      </c>
      <c r="B10" s="18">
        <f>IF(AND(mois_debut_paiements&gt;0,B2&gt;=mois_debut_paiements),B7*part_boutiques_paiement*volume_b2c_par_client*taux_commission,0)</f>
        <v/>
      </c>
      <c r="C10" s="18">
        <f>IF(AND(mois_debut_paiements&gt;0,C2&gt;=mois_debut_paiements),C7*part_boutiques_paiement*volume_b2c_par_client*taux_commission,0)</f>
        <v/>
      </c>
      <c r="D10" s="18">
        <f>IF(AND(mois_debut_paiements&gt;0,D2&gt;=mois_debut_paiements),D7*part_boutiques_paiement*volume_b2c_par_client*taux_commission,0)</f>
        <v/>
      </c>
      <c r="E10" s="18">
        <f>IF(AND(mois_debut_paiements&gt;0,E2&gt;=mois_debut_paiements),E7*part_boutiques_paiement*volume_b2c_par_client*taux_commission,0)</f>
        <v/>
      </c>
      <c r="F10" s="18">
        <f>IF(AND(mois_debut_paiements&gt;0,F2&gt;=mois_debut_paiements),F7*part_boutiques_paiement*volume_b2c_par_client*taux_commission,0)</f>
        <v/>
      </c>
      <c r="G10" s="18">
        <f>IF(AND(mois_debut_paiements&gt;0,G2&gt;=mois_debut_paiements),G7*part_boutiques_paiement*volume_b2c_par_client*taux_commission,0)</f>
        <v/>
      </c>
      <c r="H10" s="18">
        <f>IF(AND(mois_debut_paiements&gt;0,H2&gt;=mois_debut_paiements),H7*part_boutiques_paiement*volume_b2c_par_client*taux_commission,0)</f>
        <v/>
      </c>
      <c r="I10" s="18">
        <f>IF(AND(mois_debut_paiements&gt;0,I2&gt;=mois_debut_paiements),I7*part_boutiques_paiement*volume_b2c_par_client*taux_commission,0)</f>
        <v/>
      </c>
      <c r="J10" s="18">
        <f>IF(AND(mois_debut_paiements&gt;0,J2&gt;=mois_debut_paiements),J7*part_boutiques_paiement*volume_b2c_par_client*taux_commission,0)</f>
        <v/>
      </c>
      <c r="K10" s="18">
        <f>IF(AND(mois_debut_paiements&gt;0,K2&gt;=mois_debut_paiements),K7*part_boutiques_paiement*volume_b2c_par_client*taux_commission,0)</f>
        <v/>
      </c>
      <c r="L10" s="18">
        <f>IF(AND(mois_debut_paiements&gt;0,L2&gt;=mois_debut_paiements),L7*part_boutiques_paiement*volume_b2c_par_client*taux_commission,0)</f>
        <v/>
      </c>
      <c r="M10" s="18">
        <f>IF(AND(mois_debut_paiements&gt;0,M2&gt;=mois_debut_paiements),M7*part_boutiques_paiement*volume_b2c_par_client*taux_commission,0)</f>
        <v/>
      </c>
      <c r="N10" s="18">
        <f>IF(AND(mois_debut_paiements&gt;0,N2&gt;=mois_debut_paiements),N7*part_boutiques_paiement*volume_b2c_par_client*taux_commission,0)</f>
        <v/>
      </c>
      <c r="O10" s="18">
        <f>IF(AND(mois_debut_paiements&gt;0,O2&gt;=mois_debut_paiements),O7*part_boutiques_paiement*volume_b2c_par_client*taux_commission,0)</f>
        <v/>
      </c>
      <c r="P10" s="18">
        <f>IF(AND(mois_debut_paiements&gt;0,P2&gt;=mois_debut_paiements),P7*part_boutiques_paiement*volume_b2c_par_client*taux_commission,0)</f>
        <v/>
      </c>
      <c r="Q10" s="18">
        <f>IF(AND(mois_debut_paiements&gt;0,Q2&gt;=mois_debut_paiements),Q7*part_boutiques_paiement*volume_b2c_par_client*taux_commission,0)</f>
        <v/>
      </c>
      <c r="R10" s="18">
        <f>IF(AND(mois_debut_paiements&gt;0,R2&gt;=mois_debut_paiements),R7*part_boutiques_paiement*volume_b2c_par_client*taux_commission,0)</f>
        <v/>
      </c>
      <c r="S10" s="18">
        <f>IF(AND(mois_debut_paiements&gt;0,S2&gt;=mois_debut_paiements),S7*part_boutiques_paiement*volume_b2c_par_client*taux_commission,0)</f>
        <v/>
      </c>
      <c r="T10" s="18">
        <f>IF(AND(mois_debut_paiements&gt;0,T2&gt;=mois_debut_paiements),T7*part_boutiques_paiement*volume_b2c_par_client*taux_commission,0)</f>
        <v/>
      </c>
      <c r="U10" s="18">
        <f>IF(AND(mois_debut_paiements&gt;0,U2&gt;=mois_debut_paiements),U7*part_boutiques_paiement*volume_b2c_par_client*taux_commission,0)</f>
        <v/>
      </c>
      <c r="V10" s="18">
        <f>IF(AND(mois_debut_paiements&gt;0,V2&gt;=mois_debut_paiements),V7*part_boutiques_paiement*volume_b2c_par_client*taux_commission,0)</f>
        <v/>
      </c>
      <c r="W10" s="18">
        <f>IF(AND(mois_debut_paiements&gt;0,W2&gt;=mois_debut_paiements),W7*part_boutiques_paiement*volume_b2c_par_client*taux_commission,0)</f>
        <v/>
      </c>
      <c r="X10" s="18">
        <f>IF(AND(mois_debut_paiements&gt;0,X2&gt;=mois_debut_paiements),X7*part_boutiques_paiement*volume_b2c_par_client*taux_commission,0)</f>
        <v/>
      </c>
      <c r="Y10" s="18">
        <f>IF(AND(mois_debut_paiements&gt;0,Y2&gt;=mois_debut_paiements),Y7*part_boutiques_paiement*volume_b2c_par_client*taux_commission,0)</f>
        <v/>
      </c>
      <c r="Z10" s="18">
        <f>IF(AND(mois_debut_paiements&gt;0,Z2&gt;=mois_debut_paiements),Z7*part_boutiques_paiement*volume_b2c_par_client*taux_commission,0)</f>
        <v/>
      </c>
      <c r="AA10" s="18">
        <f>IF(AND(mois_debut_paiements&gt;0,AA2&gt;=mois_debut_paiements),AA7*part_boutiques_paiement*volume_b2c_par_client*taux_commission,0)</f>
        <v/>
      </c>
      <c r="AB10" s="18">
        <f>IF(AND(mois_debut_paiements&gt;0,AB2&gt;=mois_debut_paiements),AB7*part_boutiques_paiement*volume_b2c_par_client*taux_commission,0)</f>
        <v/>
      </c>
      <c r="AC10" s="18">
        <f>IF(AND(mois_debut_paiements&gt;0,AC2&gt;=mois_debut_paiements),AC7*part_boutiques_paiement*volume_b2c_par_client*taux_commission,0)</f>
        <v/>
      </c>
      <c r="AD10" s="18">
        <f>IF(AND(mois_debut_paiements&gt;0,AD2&gt;=mois_debut_paiements),AD7*part_boutiques_paiement*volume_b2c_par_client*taux_commission,0)</f>
        <v/>
      </c>
      <c r="AE10" s="18">
        <f>IF(AND(mois_debut_paiements&gt;0,AE2&gt;=mois_debut_paiements),AE7*part_boutiques_paiement*volume_b2c_par_client*taux_commission,0)</f>
        <v/>
      </c>
      <c r="AF10" s="18">
        <f>IF(AND(mois_debut_paiements&gt;0,AF2&gt;=mois_debut_paiements),AF7*part_boutiques_paiement*volume_b2c_par_client*taux_commission,0)</f>
        <v/>
      </c>
      <c r="AG10" s="18">
        <f>IF(AND(mois_debut_paiements&gt;0,AG2&gt;=mois_debut_paiements),AG7*part_boutiques_paiement*volume_b2c_par_client*taux_commission,0)</f>
        <v/>
      </c>
      <c r="AH10" s="18">
        <f>IF(AND(mois_debut_paiements&gt;0,AH2&gt;=mois_debut_paiements),AH7*part_boutiques_paiement*volume_b2c_par_client*taux_commission,0)</f>
        <v/>
      </c>
      <c r="AI10" s="18">
        <f>IF(AND(mois_debut_paiements&gt;0,AI2&gt;=mois_debut_paiements),AI7*part_boutiques_paiement*volume_b2c_par_client*taux_commission,0)</f>
        <v/>
      </c>
      <c r="AJ10" s="18">
        <f>IF(AND(mois_debut_paiements&gt;0,AJ2&gt;=mois_debut_paiements),AJ7*part_boutiques_paiement*volume_b2c_par_client*taux_commission,0)</f>
        <v/>
      </c>
      <c r="AK10" s="18">
        <f>IF(AND(mois_debut_paiements&gt;0,AK2&gt;=mois_debut_paiements),AK7*part_boutiques_paiement*volume_b2c_par_client*taux_commission,0)</f>
        <v/>
      </c>
    </row>
    <row r="11">
      <c r="A11" s="8" t="inlineStr">
        <is>
          <t>CA total HT</t>
        </is>
      </c>
      <c r="B11" s="19">
        <f>B9+B10</f>
        <v/>
      </c>
      <c r="C11" s="19">
        <f>C9+C10</f>
        <v/>
      </c>
      <c r="D11" s="19">
        <f>D9+D10</f>
        <v/>
      </c>
      <c r="E11" s="19">
        <f>E9+E10</f>
        <v/>
      </c>
      <c r="F11" s="19">
        <f>F9+F10</f>
        <v/>
      </c>
      <c r="G11" s="19">
        <f>G9+G10</f>
        <v/>
      </c>
      <c r="H11" s="19">
        <f>H9+H10</f>
        <v/>
      </c>
      <c r="I11" s="19">
        <f>I9+I10</f>
        <v/>
      </c>
      <c r="J11" s="19">
        <f>J9+J10</f>
        <v/>
      </c>
      <c r="K11" s="19">
        <f>K9+K10</f>
        <v/>
      </c>
      <c r="L11" s="19">
        <f>L9+L10</f>
        <v/>
      </c>
      <c r="M11" s="19">
        <f>M9+M10</f>
        <v/>
      </c>
      <c r="N11" s="19">
        <f>N9+N10</f>
        <v/>
      </c>
      <c r="O11" s="19">
        <f>O9+O10</f>
        <v/>
      </c>
      <c r="P11" s="19">
        <f>P9+P10</f>
        <v/>
      </c>
      <c r="Q11" s="19">
        <f>Q9+Q10</f>
        <v/>
      </c>
      <c r="R11" s="19">
        <f>R9+R10</f>
        <v/>
      </c>
      <c r="S11" s="19">
        <f>S9+S10</f>
        <v/>
      </c>
      <c r="T11" s="19">
        <f>T9+T10</f>
        <v/>
      </c>
      <c r="U11" s="19">
        <f>U9+U10</f>
        <v/>
      </c>
      <c r="V11" s="19">
        <f>V9+V10</f>
        <v/>
      </c>
      <c r="W11" s="19">
        <f>W9+W10</f>
        <v/>
      </c>
      <c r="X11" s="19">
        <f>X9+X10</f>
        <v/>
      </c>
      <c r="Y11" s="19">
        <f>Y9+Y10</f>
        <v/>
      </c>
      <c r="Z11" s="19">
        <f>Z9+Z10</f>
        <v/>
      </c>
      <c r="AA11" s="19">
        <f>AA9+AA10</f>
        <v/>
      </c>
      <c r="AB11" s="19">
        <f>AB9+AB10</f>
        <v/>
      </c>
      <c r="AC11" s="19">
        <f>AC9+AC10</f>
        <v/>
      </c>
      <c r="AD11" s="19">
        <f>AD9+AD10</f>
        <v/>
      </c>
      <c r="AE11" s="19">
        <f>AE9+AE10</f>
        <v/>
      </c>
      <c r="AF11" s="19">
        <f>AF9+AF10</f>
        <v/>
      </c>
      <c r="AG11" s="19">
        <f>AG9+AG10</f>
        <v/>
      </c>
      <c r="AH11" s="19">
        <f>AH9+AH10</f>
        <v/>
      </c>
      <c r="AI11" s="19">
        <f>AI9+AI10</f>
        <v/>
      </c>
      <c r="AJ11" s="19">
        <f>AJ9+AJ10</f>
        <v/>
      </c>
      <c r="AK11" s="19">
        <f>AK9+AK10</f>
        <v/>
      </c>
    </row>
    <row r="12">
      <c r="A12" s="14" t="inlineStr">
        <is>
          <t>TVA collectée</t>
        </is>
      </c>
      <c r="B12" s="18">
        <f>B11*taux_tva*part_ca_soumis_tva</f>
        <v/>
      </c>
      <c r="C12" s="18">
        <f>C11*taux_tva*part_ca_soumis_tva</f>
        <v/>
      </c>
      <c r="D12" s="18">
        <f>D11*taux_tva*part_ca_soumis_tva</f>
        <v/>
      </c>
      <c r="E12" s="18">
        <f>E11*taux_tva*part_ca_soumis_tva</f>
        <v/>
      </c>
      <c r="F12" s="18">
        <f>F11*taux_tva*part_ca_soumis_tva</f>
        <v/>
      </c>
      <c r="G12" s="18">
        <f>G11*taux_tva*part_ca_soumis_tva</f>
        <v/>
      </c>
      <c r="H12" s="18">
        <f>H11*taux_tva*part_ca_soumis_tva</f>
        <v/>
      </c>
      <c r="I12" s="18">
        <f>I11*taux_tva*part_ca_soumis_tva</f>
        <v/>
      </c>
      <c r="J12" s="18">
        <f>J11*taux_tva*part_ca_soumis_tva</f>
        <v/>
      </c>
      <c r="K12" s="18">
        <f>K11*taux_tva*part_ca_soumis_tva</f>
        <v/>
      </c>
      <c r="L12" s="18">
        <f>L11*taux_tva*part_ca_soumis_tva</f>
        <v/>
      </c>
      <c r="M12" s="18">
        <f>M11*taux_tva*part_ca_soumis_tva</f>
        <v/>
      </c>
      <c r="N12" s="18">
        <f>N11*taux_tva*part_ca_soumis_tva</f>
        <v/>
      </c>
      <c r="O12" s="18">
        <f>O11*taux_tva*part_ca_soumis_tva</f>
        <v/>
      </c>
      <c r="P12" s="18">
        <f>P11*taux_tva*part_ca_soumis_tva</f>
        <v/>
      </c>
      <c r="Q12" s="18">
        <f>Q11*taux_tva*part_ca_soumis_tva</f>
        <v/>
      </c>
      <c r="R12" s="18">
        <f>R11*taux_tva*part_ca_soumis_tva</f>
        <v/>
      </c>
      <c r="S12" s="18">
        <f>S11*taux_tva*part_ca_soumis_tva</f>
        <v/>
      </c>
      <c r="T12" s="18">
        <f>T11*taux_tva*part_ca_soumis_tva</f>
        <v/>
      </c>
      <c r="U12" s="18">
        <f>U11*taux_tva*part_ca_soumis_tva</f>
        <v/>
      </c>
      <c r="V12" s="18">
        <f>V11*taux_tva*part_ca_soumis_tva</f>
        <v/>
      </c>
      <c r="W12" s="18">
        <f>W11*taux_tva*part_ca_soumis_tva</f>
        <v/>
      </c>
      <c r="X12" s="18">
        <f>X11*taux_tva*part_ca_soumis_tva</f>
        <v/>
      </c>
      <c r="Y12" s="18">
        <f>Y11*taux_tva*part_ca_soumis_tva</f>
        <v/>
      </c>
      <c r="Z12" s="18">
        <f>Z11*taux_tva*part_ca_soumis_tva</f>
        <v/>
      </c>
      <c r="AA12" s="18">
        <f>AA11*taux_tva*part_ca_soumis_tva</f>
        <v/>
      </c>
      <c r="AB12" s="18">
        <f>AB11*taux_tva*part_ca_soumis_tva</f>
        <v/>
      </c>
      <c r="AC12" s="18">
        <f>AC11*taux_tva*part_ca_soumis_tva</f>
        <v/>
      </c>
      <c r="AD12" s="18">
        <f>AD11*taux_tva*part_ca_soumis_tva</f>
        <v/>
      </c>
      <c r="AE12" s="18">
        <f>AE11*taux_tva*part_ca_soumis_tva</f>
        <v/>
      </c>
      <c r="AF12" s="18">
        <f>AF11*taux_tva*part_ca_soumis_tva</f>
        <v/>
      </c>
      <c r="AG12" s="18">
        <f>AG11*taux_tva*part_ca_soumis_tva</f>
        <v/>
      </c>
      <c r="AH12" s="18">
        <f>AH11*taux_tva*part_ca_soumis_tva</f>
        <v/>
      </c>
      <c r="AI12" s="18">
        <f>AI11*taux_tva*part_ca_soumis_tva</f>
        <v/>
      </c>
      <c r="AJ12" s="18">
        <f>AJ11*taux_tva*part_ca_soumis_tva</f>
        <v/>
      </c>
      <c r="AK12" s="18">
        <f>AK11*taux_tva*part_ca_soumis_tva</f>
        <v/>
      </c>
    </row>
    <row r="13">
      <c r="A13" s="14" t="inlineStr">
        <is>
          <t>Encaissements TTC</t>
        </is>
      </c>
      <c r="B13" s="18">
        <f>B11+B12</f>
        <v/>
      </c>
      <c r="C13" s="18">
        <f>C11+C12</f>
        <v/>
      </c>
      <c r="D13" s="18">
        <f>D11+D12</f>
        <v/>
      </c>
      <c r="E13" s="18">
        <f>E11+E12</f>
        <v/>
      </c>
      <c r="F13" s="18">
        <f>F11+F12</f>
        <v/>
      </c>
      <c r="G13" s="18">
        <f>G11+G12</f>
        <v/>
      </c>
      <c r="H13" s="18">
        <f>H11+H12</f>
        <v/>
      </c>
      <c r="I13" s="18">
        <f>I11+I12</f>
        <v/>
      </c>
      <c r="J13" s="18">
        <f>J11+J12</f>
        <v/>
      </c>
      <c r="K13" s="18">
        <f>K11+K12</f>
        <v/>
      </c>
      <c r="L13" s="18">
        <f>L11+L12</f>
        <v/>
      </c>
      <c r="M13" s="18">
        <f>M11+M12</f>
        <v/>
      </c>
      <c r="N13" s="18">
        <f>N11+N12</f>
        <v/>
      </c>
      <c r="O13" s="18">
        <f>O11+O12</f>
        <v/>
      </c>
      <c r="P13" s="18">
        <f>P11+P12</f>
        <v/>
      </c>
      <c r="Q13" s="18">
        <f>Q11+Q12</f>
        <v/>
      </c>
      <c r="R13" s="18">
        <f>R11+R12</f>
        <v/>
      </c>
      <c r="S13" s="18">
        <f>S11+S12</f>
        <v/>
      </c>
      <c r="T13" s="18">
        <f>T11+T12</f>
        <v/>
      </c>
      <c r="U13" s="18">
        <f>U11+U12</f>
        <v/>
      </c>
      <c r="V13" s="18">
        <f>V11+V12</f>
        <v/>
      </c>
      <c r="W13" s="18">
        <f>W11+W12</f>
        <v/>
      </c>
      <c r="X13" s="18">
        <f>X11+X12</f>
        <v/>
      </c>
      <c r="Y13" s="18">
        <f>Y11+Y12</f>
        <v/>
      </c>
      <c r="Z13" s="18">
        <f>Z11+Z12</f>
        <v/>
      </c>
      <c r="AA13" s="18">
        <f>AA11+AA12</f>
        <v/>
      </c>
      <c r="AB13" s="18">
        <f>AB11+AB12</f>
        <v/>
      </c>
      <c r="AC13" s="18">
        <f>AC11+AC12</f>
        <v/>
      </c>
      <c r="AD13" s="18">
        <f>AD11+AD12</f>
        <v/>
      </c>
      <c r="AE13" s="18">
        <f>AE11+AE12</f>
        <v/>
      </c>
      <c r="AF13" s="18">
        <f>AF11+AF12</f>
        <v/>
      </c>
      <c r="AG13" s="18">
        <f>AG11+AG12</f>
        <v/>
      </c>
      <c r="AH13" s="18">
        <f>AH11+AH12</f>
        <v/>
      </c>
      <c r="AI13" s="18">
        <f>AI11+AI12</f>
        <v/>
      </c>
      <c r="AJ13" s="18">
        <f>AJ11+AJ12</f>
        <v/>
      </c>
      <c r="AK13" s="18">
        <f>AK11+AK12</f>
        <v/>
      </c>
    </row>
    <row r="14">
      <c r="A14" s="14" t="inlineStr">
        <is>
          <t>Hébergement et infra</t>
        </is>
      </c>
      <c r="B14" s="18">
        <f>infra_fixe+infra_par_client*B7</f>
        <v/>
      </c>
      <c r="C14" s="18">
        <f>infra_fixe+infra_par_client*C7</f>
        <v/>
      </c>
      <c r="D14" s="18">
        <f>infra_fixe+infra_par_client*D7</f>
        <v/>
      </c>
      <c r="E14" s="18">
        <f>infra_fixe+infra_par_client*E7</f>
        <v/>
      </c>
      <c r="F14" s="18">
        <f>infra_fixe+infra_par_client*F7</f>
        <v/>
      </c>
      <c r="G14" s="18">
        <f>infra_fixe+infra_par_client*G7</f>
        <v/>
      </c>
      <c r="H14" s="18">
        <f>infra_fixe+infra_par_client*H7</f>
        <v/>
      </c>
      <c r="I14" s="18">
        <f>infra_fixe+infra_par_client*I7</f>
        <v/>
      </c>
      <c r="J14" s="18">
        <f>infra_fixe+infra_par_client*J7</f>
        <v/>
      </c>
      <c r="K14" s="18">
        <f>infra_fixe+infra_par_client*K7</f>
        <v/>
      </c>
      <c r="L14" s="18">
        <f>infra_fixe+infra_par_client*L7</f>
        <v/>
      </c>
      <c r="M14" s="18">
        <f>infra_fixe+infra_par_client*M7</f>
        <v/>
      </c>
      <c r="N14" s="18">
        <f>infra_fixe+infra_par_client*N7</f>
        <v/>
      </c>
      <c r="O14" s="18">
        <f>infra_fixe+infra_par_client*O7</f>
        <v/>
      </c>
      <c r="P14" s="18">
        <f>infra_fixe+infra_par_client*P7</f>
        <v/>
      </c>
      <c r="Q14" s="18">
        <f>infra_fixe+infra_par_client*Q7</f>
        <v/>
      </c>
      <c r="R14" s="18">
        <f>infra_fixe+infra_par_client*R7</f>
        <v/>
      </c>
      <c r="S14" s="18">
        <f>infra_fixe+infra_par_client*S7</f>
        <v/>
      </c>
      <c r="T14" s="18">
        <f>infra_fixe+infra_par_client*T7</f>
        <v/>
      </c>
      <c r="U14" s="18">
        <f>infra_fixe+infra_par_client*U7</f>
        <v/>
      </c>
      <c r="V14" s="18">
        <f>infra_fixe+infra_par_client*V7</f>
        <v/>
      </c>
      <c r="W14" s="18">
        <f>infra_fixe+infra_par_client*W7</f>
        <v/>
      </c>
      <c r="X14" s="18">
        <f>infra_fixe+infra_par_client*X7</f>
        <v/>
      </c>
      <c r="Y14" s="18">
        <f>infra_fixe+infra_par_client*Y7</f>
        <v/>
      </c>
      <c r="Z14" s="18">
        <f>infra_fixe+infra_par_client*Z7</f>
        <v/>
      </c>
      <c r="AA14" s="18">
        <f>infra_fixe+infra_par_client*AA7</f>
        <v/>
      </c>
      <c r="AB14" s="18">
        <f>infra_fixe+infra_par_client*AB7</f>
        <v/>
      </c>
      <c r="AC14" s="18">
        <f>infra_fixe+infra_par_client*AC7</f>
        <v/>
      </c>
      <c r="AD14" s="18">
        <f>infra_fixe+infra_par_client*AD7</f>
        <v/>
      </c>
      <c r="AE14" s="18">
        <f>infra_fixe+infra_par_client*AE7</f>
        <v/>
      </c>
      <c r="AF14" s="18">
        <f>infra_fixe+infra_par_client*AF7</f>
        <v/>
      </c>
      <c r="AG14" s="18">
        <f>infra_fixe+infra_par_client*AG7</f>
        <v/>
      </c>
      <c r="AH14" s="18">
        <f>infra_fixe+infra_par_client*AH7</f>
        <v/>
      </c>
      <c r="AI14" s="18">
        <f>infra_fixe+infra_par_client*AI7</f>
        <v/>
      </c>
      <c r="AJ14" s="18">
        <f>infra_fixe+infra_par_client*AJ7</f>
        <v/>
      </c>
      <c r="AK14" s="18">
        <f>infra_fixe+infra_par_client*AK7</f>
        <v/>
      </c>
    </row>
    <row r="15">
      <c r="A15" s="14" t="inlineStr">
        <is>
          <t>Frais de paiement</t>
        </is>
      </c>
      <c r="B15" s="18">
        <f>B13*taux_frais_paiement</f>
        <v/>
      </c>
      <c r="C15" s="18">
        <f>C13*taux_frais_paiement</f>
        <v/>
      </c>
      <c r="D15" s="18">
        <f>D13*taux_frais_paiement</f>
        <v/>
      </c>
      <c r="E15" s="18">
        <f>E13*taux_frais_paiement</f>
        <v/>
      </c>
      <c r="F15" s="18">
        <f>F13*taux_frais_paiement</f>
        <v/>
      </c>
      <c r="G15" s="18">
        <f>G13*taux_frais_paiement</f>
        <v/>
      </c>
      <c r="H15" s="18">
        <f>H13*taux_frais_paiement</f>
        <v/>
      </c>
      <c r="I15" s="18">
        <f>I13*taux_frais_paiement</f>
        <v/>
      </c>
      <c r="J15" s="18">
        <f>J13*taux_frais_paiement</f>
        <v/>
      </c>
      <c r="K15" s="18">
        <f>K13*taux_frais_paiement</f>
        <v/>
      </c>
      <c r="L15" s="18">
        <f>L13*taux_frais_paiement</f>
        <v/>
      </c>
      <c r="M15" s="18">
        <f>M13*taux_frais_paiement</f>
        <v/>
      </c>
      <c r="N15" s="18">
        <f>N13*taux_frais_paiement</f>
        <v/>
      </c>
      <c r="O15" s="18">
        <f>O13*taux_frais_paiement</f>
        <v/>
      </c>
      <c r="P15" s="18">
        <f>P13*taux_frais_paiement</f>
        <v/>
      </c>
      <c r="Q15" s="18">
        <f>Q13*taux_frais_paiement</f>
        <v/>
      </c>
      <c r="R15" s="18">
        <f>R13*taux_frais_paiement</f>
        <v/>
      </c>
      <c r="S15" s="18">
        <f>S13*taux_frais_paiement</f>
        <v/>
      </c>
      <c r="T15" s="18">
        <f>T13*taux_frais_paiement</f>
        <v/>
      </c>
      <c r="U15" s="18">
        <f>U13*taux_frais_paiement</f>
        <v/>
      </c>
      <c r="V15" s="18">
        <f>V13*taux_frais_paiement</f>
        <v/>
      </c>
      <c r="W15" s="18">
        <f>W13*taux_frais_paiement</f>
        <v/>
      </c>
      <c r="X15" s="18">
        <f>X13*taux_frais_paiement</f>
        <v/>
      </c>
      <c r="Y15" s="18">
        <f>Y13*taux_frais_paiement</f>
        <v/>
      </c>
      <c r="Z15" s="18">
        <f>Z13*taux_frais_paiement</f>
        <v/>
      </c>
      <c r="AA15" s="18">
        <f>AA13*taux_frais_paiement</f>
        <v/>
      </c>
      <c r="AB15" s="18">
        <f>AB13*taux_frais_paiement</f>
        <v/>
      </c>
      <c r="AC15" s="18">
        <f>AC13*taux_frais_paiement</f>
        <v/>
      </c>
      <c r="AD15" s="18">
        <f>AD13*taux_frais_paiement</f>
        <v/>
      </c>
      <c r="AE15" s="18">
        <f>AE13*taux_frais_paiement</f>
        <v/>
      </c>
      <c r="AF15" s="18">
        <f>AF13*taux_frais_paiement</f>
        <v/>
      </c>
      <c r="AG15" s="18">
        <f>AG13*taux_frais_paiement</f>
        <v/>
      </c>
      <c r="AH15" s="18">
        <f>AH13*taux_frais_paiement</f>
        <v/>
      </c>
      <c r="AI15" s="18">
        <f>AI13*taux_frais_paiement</f>
        <v/>
      </c>
      <c r="AJ15" s="18">
        <f>AJ13*taux_frais_paiement</f>
        <v/>
      </c>
      <c r="AK15" s="18">
        <f>AK13*taux_frais_paiement</f>
        <v/>
      </c>
    </row>
    <row r="16">
      <c r="A16" s="8" t="inlineStr">
        <is>
          <t>Marge brute</t>
        </is>
      </c>
      <c r="B16" s="19">
        <f>B11-B14-B15</f>
        <v/>
      </c>
      <c r="C16" s="19">
        <f>C11-C14-C15</f>
        <v/>
      </c>
      <c r="D16" s="19">
        <f>D11-D14-D15</f>
        <v/>
      </c>
      <c r="E16" s="19">
        <f>E11-E14-E15</f>
        <v/>
      </c>
      <c r="F16" s="19">
        <f>F11-F14-F15</f>
        <v/>
      </c>
      <c r="G16" s="19">
        <f>G11-G14-G15</f>
        <v/>
      </c>
      <c r="H16" s="19">
        <f>H11-H14-H15</f>
        <v/>
      </c>
      <c r="I16" s="19">
        <f>I11-I14-I15</f>
        <v/>
      </c>
      <c r="J16" s="19">
        <f>J11-J14-J15</f>
        <v/>
      </c>
      <c r="K16" s="19">
        <f>K11-K14-K15</f>
        <v/>
      </c>
      <c r="L16" s="19">
        <f>L11-L14-L15</f>
        <v/>
      </c>
      <c r="M16" s="19">
        <f>M11-M14-M15</f>
        <v/>
      </c>
      <c r="N16" s="19">
        <f>N11-N14-N15</f>
        <v/>
      </c>
      <c r="O16" s="19">
        <f>O11-O14-O15</f>
        <v/>
      </c>
      <c r="P16" s="19">
        <f>P11-P14-P15</f>
        <v/>
      </c>
      <c r="Q16" s="19">
        <f>Q11-Q14-Q15</f>
        <v/>
      </c>
      <c r="R16" s="19">
        <f>R11-R14-R15</f>
        <v/>
      </c>
      <c r="S16" s="19">
        <f>S11-S14-S15</f>
        <v/>
      </c>
      <c r="T16" s="19">
        <f>T11-T14-T15</f>
        <v/>
      </c>
      <c r="U16" s="19">
        <f>U11-U14-U15</f>
        <v/>
      </c>
      <c r="V16" s="19">
        <f>V11-V14-V15</f>
        <v/>
      </c>
      <c r="W16" s="19">
        <f>W11-W14-W15</f>
        <v/>
      </c>
      <c r="X16" s="19">
        <f>X11-X14-X15</f>
        <v/>
      </c>
      <c r="Y16" s="19">
        <f>Y11-Y14-Y15</f>
        <v/>
      </c>
      <c r="Z16" s="19">
        <f>Z11-Z14-Z15</f>
        <v/>
      </c>
      <c r="AA16" s="19">
        <f>AA11-AA14-AA15</f>
        <v/>
      </c>
      <c r="AB16" s="19">
        <f>AB11-AB14-AB15</f>
        <v/>
      </c>
      <c r="AC16" s="19">
        <f>AC11-AC14-AC15</f>
        <v/>
      </c>
      <c r="AD16" s="19">
        <f>AD11-AD14-AD15</f>
        <v/>
      </c>
      <c r="AE16" s="19">
        <f>AE11-AE14-AE15</f>
        <v/>
      </c>
      <c r="AF16" s="19">
        <f>AF11-AF14-AF15</f>
        <v/>
      </c>
      <c r="AG16" s="19">
        <f>AG11-AG14-AG15</f>
        <v/>
      </c>
      <c r="AH16" s="19">
        <f>AH11-AH14-AH15</f>
        <v/>
      </c>
      <c r="AI16" s="19">
        <f>AI11-AI14-AI15</f>
        <v/>
      </c>
      <c r="AJ16" s="19">
        <f>AJ11-AJ14-AJ15</f>
        <v/>
      </c>
      <c r="AK16" s="19">
        <f>AK11-AK14-AK15</f>
        <v/>
      </c>
    </row>
    <row r="17">
      <c r="A17" s="14" t="inlineStr">
        <is>
          <t>Taux de marge brute</t>
        </is>
      </c>
      <c r="B17" s="11">
        <f>IF(B11=0,0,B16/B11)</f>
        <v/>
      </c>
      <c r="C17" s="11">
        <f>IF(C11=0,0,C16/C11)</f>
        <v/>
      </c>
      <c r="D17" s="11">
        <f>IF(D11=0,0,D16/D11)</f>
        <v/>
      </c>
      <c r="E17" s="11">
        <f>IF(E11=0,0,E16/E11)</f>
        <v/>
      </c>
      <c r="F17" s="11">
        <f>IF(F11=0,0,F16/F11)</f>
        <v/>
      </c>
      <c r="G17" s="11">
        <f>IF(G11=0,0,G16/G11)</f>
        <v/>
      </c>
      <c r="H17" s="11">
        <f>IF(H11=0,0,H16/H11)</f>
        <v/>
      </c>
      <c r="I17" s="11">
        <f>IF(I11=0,0,I16/I11)</f>
        <v/>
      </c>
      <c r="J17" s="11">
        <f>IF(J11=0,0,J16/J11)</f>
        <v/>
      </c>
      <c r="K17" s="11">
        <f>IF(K11=0,0,K16/K11)</f>
        <v/>
      </c>
      <c r="L17" s="11">
        <f>IF(L11=0,0,L16/L11)</f>
        <v/>
      </c>
      <c r="M17" s="11">
        <f>IF(M11=0,0,M16/M11)</f>
        <v/>
      </c>
      <c r="N17" s="11">
        <f>IF(N11=0,0,N16/N11)</f>
        <v/>
      </c>
      <c r="O17" s="11">
        <f>IF(O11=0,0,O16/O11)</f>
        <v/>
      </c>
      <c r="P17" s="11">
        <f>IF(P11=0,0,P16/P11)</f>
        <v/>
      </c>
      <c r="Q17" s="11">
        <f>IF(Q11=0,0,Q16/Q11)</f>
        <v/>
      </c>
      <c r="R17" s="11">
        <f>IF(R11=0,0,R16/R11)</f>
        <v/>
      </c>
      <c r="S17" s="11">
        <f>IF(S11=0,0,S16/S11)</f>
        <v/>
      </c>
      <c r="T17" s="11">
        <f>IF(T11=0,0,T16/T11)</f>
        <v/>
      </c>
      <c r="U17" s="11">
        <f>IF(U11=0,0,U16/U11)</f>
        <v/>
      </c>
      <c r="V17" s="11">
        <f>IF(V11=0,0,V16/V11)</f>
        <v/>
      </c>
      <c r="W17" s="11">
        <f>IF(W11=0,0,W16/W11)</f>
        <v/>
      </c>
      <c r="X17" s="11">
        <f>IF(X11=0,0,X16/X11)</f>
        <v/>
      </c>
      <c r="Y17" s="11">
        <f>IF(Y11=0,0,Y16/Y11)</f>
        <v/>
      </c>
      <c r="Z17" s="11">
        <f>IF(Z11=0,0,Z16/Z11)</f>
        <v/>
      </c>
      <c r="AA17" s="11">
        <f>IF(AA11=0,0,AA16/AA11)</f>
        <v/>
      </c>
      <c r="AB17" s="11">
        <f>IF(AB11=0,0,AB16/AB11)</f>
        <v/>
      </c>
      <c r="AC17" s="11">
        <f>IF(AC11=0,0,AC16/AC11)</f>
        <v/>
      </c>
      <c r="AD17" s="11">
        <f>IF(AD11=0,0,AD16/AD11)</f>
        <v/>
      </c>
      <c r="AE17" s="11">
        <f>IF(AE11=0,0,AE16/AE11)</f>
        <v/>
      </c>
      <c r="AF17" s="11">
        <f>IF(AF11=0,0,AF16/AF11)</f>
        <v/>
      </c>
      <c r="AG17" s="11">
        <f>IF(AG11=0,0,AG16/AG11)</f>
        <v/>
      </c>
      <c r="AH17" s="11">
        <f>IF(AH11=0,0,AH16/AH11)</f>
        <v/>
      </c>
      <c r="AI17" s="11">
        <f>IF(AI11=0,0,AI16/AI11)</f>
        <v/>
      </c>
      <c r="AJ17" s="11">
        <f>IF(AJ11=0,0,AJ16/AJ11)</f>
        <v/>
      </c>
      <c r="AK17" s="11">
        <f>IF(AK11=0,0,AK16/AK11)</f>
        <v/>
      </c>
    </row>
    <row r="18">
      <c r="A18" s="14" t="inlineStr">
        <is>
          <t>Salaires bruts</t>
        </is>
      </c>
      <c r="B18" s="18">
        <f>CHOOSE(B3,salaires_an1,salaires_an2,salaires_an3)</f>
        <v/>
      </c>
      <c r="C18" s="18">
        <f>CHOOSE(C3,salaires_an1,salaires_an2,salaires_an3)</f>
        <v/>
      </c>
      <c r="D18" s="18">
        <f>CHOOSE(D3,salaires_an1,salaires_an2,salaires_an3)</f>
        <v/>
      </c>
      <c r="E18" s="18">
        <f>CHOOSE(E3,salaires_an1,salaires_an2,salaires_an3)</f>
        <v/>
      </c>
      <c r="F18" s="18">
        <f>CHOOSE(F3,salaires_an1,salaires_an2,salaires_an3)</f>
        <v/>
      </c>
      <c r="G18" s="18">
        <f>CHOOSE(G3,salaires_an1,salaires_an2,salaires_an3)</f>
        <v/>
      </c>
      <c r="H18" s="18">
        <f>CHOOSE(H3,salaires_an1,salaires_an2,salaires_an3)</f>
        <v/>
      </c>
      <c r="I18" s="18">
        <f>CHOOSE(I3,salaires_an1,salaires_an2,salaires_an3)</f>
        <v/>
      </c>
      <c r="J18" s="18">
        <f>CHOOSE(J3,salaires_an1,salaires_an2,salaires_an3)</f>
        <v/>
      </c>
      <c r="K18" s="18">
        <f>CHOOSE(K3,salaires_an1,salaires_an2,salaires_an3)</f>
        <v/>
      </c>
      <c r="L18" s="18">
        <f>CHOOSE(L3,salaires_an1,salaires_an2,salaires_an3)</f>
        <v/>
      </c>
      <c r="M18" s="18">
        <f>CHOOSE(M3,salaires_an1,salaires_an2,salaires_an3)</f>
        <v/>
      </c>
      <c r="N18" s="18">
        <f>CHOOSE(N3,salaires_an1,salaires_an2,salaires_an3)</f>
        <v/>
      </c>
      <c r="O18" s="18">
        <f>CHOOSE(O3,salaires_an1,salaires_an2,salaires_an3)</f>
        <v/>
      </c>
      <c r="P18" s="18">
        <f>CHOOSE(P3,salaires_an1,salaires_an2,salaires_an3)</f>
        <v/>
      </c>
      <c r="Q18" s="18">
        <f>CHOOSE(Q3,salaires_an1,salaires_an2,salaires_an3)</f>
        <v/>
      </c>
      <c r="R18" s="18">
        <f>CHOOSE(R3,salaires_an1,salaires_an2,salaires_an3)</f>
        <v/>
      </c>
      <c r="S18" s="18">
        <f>CHOOSE(S3,salaires_an1,salaires_an2,salaires_an3)</f>
        <v/>
      </c>
      <c r="T18" s="18">
        <f>CHOOSE(T3,salaires_an1,salaires_an2,salaires_an3)</f>
        <v/>
      </c>
      <c r="U18" s="18">
        <f>CHOOSE(U3,salaires_an1,salaires_an2,salaires_an3)</f>
        <v/>
      </c>
      <c r="V18" s="18">
        <f>CHOOSE(V3,salaires_an1,salaires_an2,salaires_an3)</f>
        <v/>
      </c>
      <c r="W18" s="18">
        <f>CHOOSE(W3,salaires_an1,salaires_an2,salaires_an3)</f>
        <v/>
      </c>
      <c r="X18" s="18">
        <f>CHOOSE(X3,salaires_an1,salaires_an2,salaires_an3)</f>
        <v/>
      </c>
      <c r="Y18" s="18">
        <f>CHOOSE(Y3,salaires_an1,salaires_an2,salaires_an3)</f>
        <v/>
      </c>
      <c r="Z18" s="18">
        <f>CHOOSE(Z3,salaires_an1,salaires_an2,salaires_an3)</f>
        <v/>
      </c>
      <c r="AA18" s="18">
        <f>CHOOSE(AA3,salaires_an1,salaires_an2,salaires_an3)</f>
        <v/>
      </c>
      <c r="AB18" s="18">
        <f>CHOOSE(AB3,salaires_an1,salaires_an2,salaires_an3)</f>
        <v/>
      </c>
      <c r="AC18" s="18">
        <f>CHOOSE(AC3,salaires_an1,salaires_an2,salaires_an3)</f>
        <v/>
      </c>
      <c r="AD18" s="18">
        <f>CHOOSE(AD3,salaires_an1,salaires_an2,salaires_an3)</f>
        <v/>
      </c>
      <c r="AE18" s="18">
        <f>CHOOSE(AE3,salaires_an1,salaires_an2,salaires_an3)</f>
        <v/>
      </c>
      <c r="AF18" s="18">
        <f>CHOOSE(AF3,salaires_an1,salaires_an2,salaires_an3)</f>
        <v/>
      </c>
      <c r="AG18" s="18">
        <f>CHOOSE(AG3,salaires_an1,salaires_an2,salaires_an3)</f>
        <v/>
      </c>
      <c r="AH18" s="18">
        <f>CHOOSE(AH3,salaires_an1,salaires_an2,salaires_an3)</f>
        <v/>
      </c>
      <c r="AI18" s="18">
        <f>CHOOSE(AI3,salaires_an1,salaires_an2,salaires_an3)</f>
        <v/>
      </c>
      <c r="AJ18" s="18">
        <f>CHOOSE(AJ3,salaires_an1,salaires_an2,salaires_an3)</f>
        <v/>
      </c>
      <c r="AK18" s="18">
        <f>CHOOSE(AK3,salaires_an1,salaires_an2,salaires_an3)</f>
        <v/>
      </c>
    </row>
    <row r="19">
      <c r="A19" s="14" t="inlineStr">
        <is>
          <t>Charges sociales</t>
        </is>
      </c>
      <c r="B19" s="18">
        <f>B18*taux_charges_sociales</f>
        <v/>
      </c>
      <c r="C19" s="18">
        <f>C18*taux_charges_sociales</f>
        <v/>
      </c>
      <c r="D19" s="18">
        <f>D18*taux_charges_sociales</f>
        <v/>
      </c>
      <c r="E19" s="18">
        <f>E18*taux_charges_sociales</f>
        <v/>
      </c>
      <c r="F19" s="18">
        <f>F18*taux_charges_sociales</f>
        <v/>
      </c>
      <c r="G19" s="18">
        <f>G18*taux_charges_sociales</f>
        <v/>
      </c>
      <c r="H19" s="18">
        <f>H18*taux_charges_sociales</f>
        <v/>
      </c>
      <c r="I19" s="18">
        <f>I18*taux_charges_sociales</f>
        <v/>
      </c>
      <c r="J19" s="18">
        <f>J18*taux_charges_sociales</f>
        <v/>
      </c>
      <c r="K19" s="18">
        <f>K18*taux_charges_sociales</f>
        <v/>
      </c>
      <c r="L19" s="18">
        <f>L18*taux_charges_sociales</f>
        <v/>
      </c>
      <c r="M19" s="18">
        <f>M18*taux_charges_sociales</f>
        <v/>
      </c>
      <c r="N19" s="18">
        <f>N18*taux_charges_sociales</f>
        <v/>
      </c>
      <c r="O19" s="18">
        <f>O18*taux_charges_sociales</f>
        <v/>
      </c>
      <c r="P19" s="18">
        <f>P18*taux_charges_sociales</f>
        <v/>
      </c>
      <c r="Q19" s="18">
        <f>Q18*taux_charges_sociales</f>
        <v/>
      </c>
      <c r="R19" s="18">
        <f>R18*taux_charges_sociales</f>
        <v/>
      </c>
      <c r="S19" s="18">
        <f>S18*taux_charges_sociales</f>
        <v/>
      </c>
      <c r="T19" s="18">
        <f>T18*taux_charges_sociales</f>
        <v/>
      </c>
      <c r="U19" s="18">
        <f>U18*taux_charges_sociales</f>
        <v/>
      </c>
      <c r="V19" s="18">
        <f>V18*taux_charges_sociales</f>
        <v/>
      </c>
      <c r="W19" s="18">
        <f>W18*taux_charges_sociales</f>
        <v/>
      </c>
      <c r="X19" s="18">
        <f>X18*taux_charges_sociales</f>
        <v/>
      </c>
      <c r="Y19" s="18">
        <f>Y18*taux_charges_sociales</f>
        <v/>
      </c>
      <c r="Z19" s="18">
        <f>Z18*taux_charges_sociales</f>
        <v/>
      </c>
      <c r="AA19" s="18">
        <f>AA18*taux_charges_sociales</f>
        <v/>
      </c>
      <c r="AB19" s="18">
        <f>AB18*taux_charges_sociales</f>
        <v/>
      </c>
      <c r="AC19" s="18">
        <f>AC18*taux_charges_sociales</f>
        <v/>
      </c>
      <c r="AD19" s="18">
        <f>AD18*taux_charges_sociales</f>
        <v/>
      </c>
      <c r="AE19" s="18">
        <f>AE18*taux_charges_sociales</f>
        <v/>
      </c>
      <c r="AF19" s="18">
        <f>AF18*taux_charges_sociales</f>
        <v/>
      </c>
      <c r="AG19" s="18">
        <f>AG18*taux_charges_sociales</f>
        <v/>
      </c>
      <c r="AH19" s="18">
        <f>AH18*taux_charges_sociales</f>
        <v/>
      </c>
      <c r="AI19" s="18">
        <f>AI18*taux_charges_sociales</f>
        <v/>
      </c>
      <c r="AJ19" s="18">
        <f>AJ18*taux_charges_sociales</f>
        <v/>
      </c>
      <c r="AK19" s="18">
        <f>AK18*taux_charges_sociales</f>
        <v/>
      </c>
    </row>
    <row r="20">
      <c r="A20" s="14" t="inlineStr">
        <is>
          <t>Marketing et acquisition</t>
        </is>
      </c>
      <c r="B20" s="18">
        <f>marketing_fixe+cac*B4</f>
        <v/>
      </c>
      <c r="C20" s="18">
        <f>marketing_fixe+cac*C4</f>
        <v/>
      </c>
      <c r="D20" s="18">
        <f>marketing_fixe+cac*D4</f>
        <v/>
      </c>
      <c r="E20" s="18">
        <f>marketing_fixe+cac*E4</f>
        <v/>
      </c>
      <c r="F20" s="18">
        <f>marketing_fixe+cac*F4</f>
        <v/>
      </c>
      <c r="G20" s="18">
        <f>marketing_fixe+cac*G4</f>
        <v/>
      </c>
      <c r="H20" s="18">
        <f>marketing_fixe+cac*H4</f>
        <v/>
      </c>
      <c r="I20" s="18">
        <f>marketing_fixe+cac*I4</f>
        <v/>
      </c>
      <c r="J20" s="18">
        <f>marketing_fixe+cac*J4</f>
        <v/>
      </c>
      <c r="K20" s="18">
        <f>marketing_fixe+cac*K4</f>
        <v/>
      </c>
      <c r="L20" s="18">
        <f>marketing_fixe+cac*L4</f>
        <v/>
      </c>
      <c r="M20" s="18">
        <f>marketing_fixe+cac*M4</f>
        <v/>
      </c>
      <c r="N20" s="18">
        <f>marketing_fixe+cac*N4</f>
        <v/>
      </c>
      <c r="O20" s="18">
        <f>marketing_fixe+cac*O4</f>
        <v/>
      </c>
      <c r="P20" s="18">
        <f>marketing_fixe+cac*P4</f>
        <v/>
      </c>
      <c r="Q20" s="18">
        <f>marketing_fixe+cac*Q4</f>
        <v/>
      </c>
      <c r="R20" s="18">
        <f>marketing_fixe+cac*R4</f>
        <v/>
      </c>
      <c r="S20" s="18">
        <f>marketing_fixe+cac*S4</f>
        <v/>
      </c>
      <c r="T20" s="18">
        <f>marketing_fixe+cac*T4</f>
        <v/>
      </c>
      <c r="U20" s="18">
        <f>marketing_fixe+cac*U4</f>
        <v/>
      </c>
      <c r="V20" s="18">
        <f>marketing_fixe+cac*V4</f>
        <v/>
      </c>
      <c r="W20" s="18">
        <f>marketing_fixe+cac*W4</f>
        <v/>
      </c>
      <c r="X20" s="18">
        <f>marketing_fixe+cac*X4</f>
        <v/>
      </c>
      <c r="Y20" s="18">
        <f>marketing_fixe+cac*Y4</f>
        <v/>
      </c>
      <c r="Z20" s="18">
        <f>marketing_fixe+cac*Z4</f>
        <v/>
      </c>
      <c r="AA20" s="18">
        <f>marketing_fixe+cac*AA4</f>
        <v/>
      </c>
      <c r="AB20" s="18">
        <f>marketing_fixe+cac*AB4</f>
        <v/>
      </c>
      <c r="AC20" s="18">
        <f>marketing_fixe+cac*AC4</f>
        <v/>
      </c>
      <c r="AD20" s="18">
        <f>marketing_fixe+cac*AD4</f>
        <v/>
      </c>
      <c r="AE20" s="18">
        <f>marketing_fixe+cac*AE4</f>
        <v/>
      </c>
      <c r="AF20" s="18">
        <f>marketing_fixe+cac*AF4</f>
        <v/>
      </c>
      <c r="AG20" s="18">
        <f>marketing_fixe+cac*AG4</f>
        <v/>
      </c>
      <c r="AH20" s="18">
        <f>marketing_fixe+cac*AH4</f>
        <v/>
      </c>
      <c r="AI20" s="18">
        <f>marketing_fixe+cac*AI4</f>
        <v/>
      </c>
      <c r="AJ20" s="18">
        <f>marketing_fixe+cac*AJ4</f>
        <v/>
      </c>
      <c r="AK20" s="18">
        <f>marketing_fixe+cac*AK4</f>
        <v/>
      </c>
    </row>
    <row r="21">
      <c r="A21" s="14" t="inlineStr">
        <is>
          <t>Logiciels et outils</t>
        </is>
      </c>
      <c r="B21" s="18">
        <f>outils_mensuels</f>
        <v/>
      </c>
      <c r="C21" s="18">
        <f>outils_mensuels</f>
        <v/>
      </c>
      <c r="D21" s="18">
        <f>outils_mensuels</f>
        <v/>
      </c>
      <c r="E21" s="18">
        <f>outils_mensuels</f>
        <v/>
      </c>
      <c r="F21" s="18">
        <f>outils_mensuels</f>
        <v/>
      </c>
      <c r="G21" s="18">
        <f>outils_mensuels</f>
        <v/>
      </c>
      <c r="H21" s="18">
        <f>outils_mensuels</f>
        <v/>
      </c>
      <c r="I21" s="18">
        <f>outils_mensuels</f>
        <v/>
      </c>
      <c r="J21" s="18">
        <f>outils_mensuels</f>
        <v/>
      </c>
      <c r="K21" s="18">
        <f>outils_mensuels</f>
        <v/>
      </c>
      <c r="L21" s="18">
        <f>outils_mensuels</f>
        <v/>
      </c>
      <c r="M21" s="18">
        <f>outils_mensuels</f>
        <v/>
      </c>
      <c r="N21" s="18">
        <f>outils_mensuels</f>
        <v/>
      </c>
      <c r="O21" s="18">
        <f>outils_mensuels</f>
        <v/>
      </c>
      <c r="P21" s="18">
        <f>outils_mensuels</f>
        <v/>
      </c>
      <c r="Q21" s="18">
        <f>outils_mensuels</f>
        <v/>
      </c>
      <c r="R21" s="18">
        <f>outils_mensuels</f>
        <v/>
      </c>
      <c r="S21" s="18">
        <f>outils_mensuels</f>
        <v/>
      </c>
      <c r="T21" s="18">
        <f>outils_mensuels</f>
        <v/>
      </c>
      <c r="U21" s="18">
        <f>outils_mensuels</f>
        <v/>
      </c>
      <c r="V21" s="18">
        <f>outils_mensuels</f>
        <v/>
      </c>
      <c r="W21" s="18">
        <f>outils_mensuels</f>
        <v/>
      </c>
      <c r="X21" s="18">
        <f>outils_mensuels</f>
        <v/>
      </c>
      <c r="Y21" s="18">
        <f>outils_mensuels</f>
        <v/>
      </c>
      <c r="Z21" s="18">
        <f>outils_mensuels</f>
        <v/>
      </c>
      <c r="AA21" s="18">
        <f>outils_mensuels</f>
        <v/>
      </c>
      <c r="AB21" s="18">
        <f>outils_mensuels</f>
        <v/>
      </c>
      <c r="AC21" s="18">
        <f>outils_mensuels</f>
        <v/>
      </c>
      <c r="AD21" s="18">
        <f>outils_mensuels</f>
        <v/>
      </c>
      <c r="AE21" s="18">
        <f>outils_mensuels</f>
        <v/>
      </c>
      <c r="AF21" s="18">
        <f>outils_mensuels</f>
        <v/>
      </c>
      <c r="AG21" s="18">
        <f>outils_mensuels</f>
        <v/>
      </c>
      <c r="AH21" s="18">
        <f>outils_mensuels</f>
        <v/>
      </c>
      <c r="AI21" s="18">
        <f>outils_mensuels</f>
        <v/>
      </c>
      <c r="AJ21" s="18">
        <f>outils_mensuels</f>
        <v/>
      </c>
      <c r="AK21" s="18">
        <f>outils_mensuels</f>
        <v/>
      </c>
    </row>
    <row r="22">
      <c r="A22" s="14" t="inlineStr">
        <is>
          <t>Honoraires</t>
        </is>
      </c>
      <c r="B22" s="18">
        <f>honoraires_mensuels</f>
        <v/>
      </c>
      <c r="C22" s="18">
        <f>honoraires_mensuels</f>
        <v/>
      </c>
      <c r="D22" s="18">
        <f>honoraires_mensuels</f>
        <v/>
      </c>
      <c r="E22" s="18">
        <f>honoraires_mensuels</f>
        <v/>
      </c>
      <c r="F22" s="18">
        <f>honoraires_mensuels</f>
        <v/>
      </c>
      <c r="G22" s="18">
        <f>honoraires_mensuels</f>
        <v/>
      </c>
      <c r="H22" s="18">
        <f>honoraires_mensuels</f>
        <v/>
      </c>
      <c r="I22" s="18">
        <f>honoraires_mensuels</f>
        <v/>
      </c>
      <c r="J22" s="18">
        <f>honoraires_mensuels</f>
        <v/>
      </c>
      <c r="K22" s="18">
        <f>honoraires_mensuels</f>
        <v/>
      </c>
      <c r="L22" s="18">
        <f>honoraires_mensuels</f>
        <v/>
      </c>
      <c r="M22" s="18">
        <f>honoraires_mensuels</f>
        <v/>
      </c>
      <c r="N22" s="18">
        <f>honoraires_mensuels</f>
        <v/>
      </c>
      <c r="O22" s="18">
        <f>honoraires_mensuels</f>
        <v/>
      </c>
      <c r="P22" s="18">
        <f>honoraires_mensuels</f>
        <v/>
      </c>
      <c r="Q22" s="18">
        <f>honoraires_mensuels</f>
        <v/>
      </c>
      <c r="R22" s="18">
        <f>honoraires_mensuels</f>
        <v/>
      </c>
      <c r="S22" s="18">
        <f>honoraires_mensuels</f>
        <v/>
      </c>
      <c r="T22" s="18">
        <f>honoraires_mensuels</f>
        <v/>
      </c>
      <c r="U22" s="18">
        <f>honoraires_mensuels</f>
        <v/>
      </c>
      <c r="V22" s="18">
        <f>honoraires_mensuels</f>
        <v/>
      </c>
      <c r="W22" s="18">
        <f>honoraires_mensuels</f>
        <v/>
      </c>
      <c r="X22" s="18">
        <f>honoraires_mensuels</f>
        <v/>
      </c>
      <c r="Y22" s="18">
        <f>honoraires_mensuels</f>
        <v/>
      </c>
      <c r="Z22" s="18">
        <f>honoraires_mensuels</f>
        <v/>
      </c>
      <c r="AA22" s="18">
        <f>honoraires_mensuels</f>
        <v/>
      </c>
      <c r="AB22" s="18">
        <f>honoraires_mensuels</f>
        <v/>
      </c>
      <c r="AC22" s="18">
        <f>honoraires_mensuels</f>
        <v/>
      </c>
      <c r="AD22" s="18">
        <f>honoraires_mensuels</f>
        <v/>
      </c>
      <c r="AE22" s="18">
        <f>honoraires_mensuels</f>
        <v/>
      </c>
      <c r="AF22" s="18">
        <f>honoraires_mensuels</f>
        <v/>
      </c>
      <c r="AG22" s="18">
        <f>honoraires_mensuels</f>
        <v/>
      </c>
      <c r="AH22" s="18">
        <f>honoraires_mensuels</f>
        <v/>
      </c>
      <c r="AI22" s="18">
        <f>honoraires_mensuels</f>
        <v/>
      </c>
      <c r="AJ22" s="18">
        <f>honoraires_mensuels</f>
        <v/>
      </c>
      <c r="AK22" s="18">
        <f>honoraires_mensuels</f>
        <v/>
      </c>
    </row>
    <row r="23">
      <c r="A23" s="14" t="inlineStr">
        <is>
          <t>Autres charges (dont frais de création au mois 1)</t>
        </is>
      </c>
      <c r="B23" s="18">
        <f>autres_mensuelles+IF(B2=1,frais_creation,0)</f>
        <v/>
      </c>
      <c r="C23" s="18">
        <f>autres_mensuelles+IF(C2=1,frais_creation,0)</f>
        <v/>
      </c>
      <c r="D23" s="18">
        <f>autres_mensuelles+IF(D2=1,frais_creation,0)</f>
        <v/>
      </c>
      <c r="E23" s="18">
        <f>autres_mensuelles+IF(E2=1,frais_creation,0)</f>
        <v/>
      </c>
      <c r="F23" s="18">
        <f>autres_mensuelles+IF(F2=1,frais_creation,0)</f>
        <v/>
      </c>
      <c r="G23" s="18">
        <f>autres_mensuelles+IF(G2=1,frais_creation,0)</f>
        <v/>
      </c>
      <c r="H23" s="18">
        <f>autres_mensuelles+IF(H2=1,frais_creation,0)</f>
        <v/>
      </c>
      <c r="I23" s="18">
        <f>autres_mensuelles+IF(I2=1,frais_creation,0)</f>
        <v/>
      </c>
      <c r="J23" s="18">
        <f>autres_mensuelles+IF(J2=1,frais_creation,0)</f>
        <v/>
      </c>
      <c r="K23" s="18">
        <f>autres_mensuelles+IF(K2=1,frais_creation,0)</f>
        <v/>
      </c>
      <c r="L23" s="18">
        <f>autres_mensuelles+IF(L2=1,frais_creation,0)</f>
        <v/>
      </c>
      <c r="M23" s="18">
        <f>autres_mensuelles+IF(M2=1,frais_creation,0)</f>
        <v/>
      </c>
      <c r="N23" s="18">
        <f>autres_mensuelles+IF(N2=1,frais_creation,0)</f>
        <v/>
      </c>
      <c r="O23" s="18">
        <f>autres_mensuelles+IF(O2=1,frais_creation,0)</f>
        <v/>
      </c>
      <c r="P23" s="18">
        <f>autres_mensuelles+IF(P2=1,frais_creation,0)</f>
        <v/>
      </c>
      <c r="Q23" s="18">
        <f>autres_mensuelles+IF(Q2=1,frais_creation,0)</f>
        <v/>
      </c>
      <c r="R23" s="18">
        <f>autres_mensuelles+IF(R2=1,frais_creation,0)</f>
        <v/>
      </c>
      <c r="S23" s="18">
        <f>autres_mensuelles+IF(S2=1,frais_creation,0)</f>
        <v/>
      </c>
      <c r="T23" s="18">
        <f>autres_mensuelles+IF(T2=1,frais_creation,0)</f>
        <v/>
      </c>
      <c r="U23" s="18">
        <f>autres_mensuelles+IF(U2=1,frais_creation,0)</f>
        <v/>
      </c>
      <c r="V23" s="18">
        <f>autres_mensuelles+IF(V2=1,frais_creation,0)</f>
        <v/>
      </c>
      <c r="W23" s="18">
        <f>autres_mensuelles+IF(W2=1,frais_creation,0)</f>
        <v/>
      </c>
      <c r="X23" s="18">
        <f>autres_mensuelles+IF(X2=1,frais_creation,0)</f>
        <v/>
      </c>
      <c r="Y23" s="18">
        <f>autres_mensuelles+IF(Y2=1,frais_creation,0)</f>
        <v/>
      </c>
      <c r="Z23" s="18">
        <f>autres_mensuelles+IF(Z2=1,frais_creation,0)</f>
        <v/>
      </c>
      <c r="AA23" s="18">
        <f>autres_mensuelles+IF(AA2=1,frais_creation,0)</f>
        <v/>
      </c>
      <c r="AB23" s="18">
        <f>autres_mensuelles+IF(AB2=1,frais_creation,0)</f>
        <v/>
      </c>
      <c r="AC23" s="18">
        <f>autres_mensuelles+IF(AC2=1,frais_creation,0)</f>
        <v/>
      </c>
      <c r="AD23" s="18">
        <f>autres_mensuelles+IF(AD2=1,frais_creation,0)</f>
        <v/>
      </c>
      <c r="AE23" s="18">
        <f>autres_mensuelles+IF(AE2=1,frais_creation,0)</f>
        <v/>
      </c>
      <c r="AF23" s="18">
        <f>autres_mensuelles+IF(AF2=1,frais_creation,0)</f>
        <v/>
      </c>
      <c r="AG23" s="18">
        <f>autres_mensuelles+IF(AG2=1,frais_creation,0)</f>
        <v/>
      </c>
      <c r="AH23" s="18">
        <f>autres_mensuelles+IF(AH2=1,frais_creation,0)</f>
        <v/>
      </c>
      <c r="AI23" s="18">
        <f>autres_mensuelles+IF(AI2=1,frais_creation,0)</f>
        <v/>
      </c>
      <c r="AJ23" s="18">
        <f>autres_mensuelles+IF(AJ2=1,frais_creation,0)</f>
        <v/>
      </c>
      <c r="AK23" s="18">
        <f>autres_mensuelles+IF(AK2=1,frais_creation,0)</f>
        <v/>
      </c>
    </row>
    <row r="24">
      <c r="A24" s="8" t="inlineStr">
        <is>
          <t>Total charges d'exploitation</t>
        </is>
      </c>
      <c r="B24" s="19">
        <f>SUM(B18:B23)</f>
        <v/>
      </c>
      <c r="C24" s="19">
        <f>SUM(C18:C23)</f>
        <v/>
      </c>
      <c r="D24" s="19">
        <f>SUM(D18:D23)</f>
        <v/>
      </c>
      <c r="E24" s="19">
        <f>SUM(E18:E23)</f>
        <v/>
      </c>
      <c r="F24" s="19">
        <f>SUM(F18:F23)</f>
        <v/>
      </c>
      <c r="G24" s="19">
        <f>SUM(G18:G23)</f>
        <v/>
      </c>
      <c r="H24" s="19">
        <f>SUM(H18:H23)</f>
        <v/>
      </c>
      <c r="I24" s="19">
        <f>SUM(I18:I23)</f>
        <v/>
      </c>
      <c r="J24" s="19">
        <f>SUM(J18:J23)</f>
        <v/>
      </c>
      <c r="K24" s="19">
        <f>SUM(K18:K23)</f>
        <v/>
      </c>
      <c r="L24" s="19">
        <f>SUM(L18:L23)</f>
        <v/>
      </c>
      <c r="M24" s="19">
        <f>SUM(M18:M23)</f>
        <v/>
      </c>
      <c r="N24" s="19">
        <f>SUM(N18:N23)</f>
        <v/>
      </c>
      <c r="O24" s="19">
        <f>SUM(O18:O23)</f>
        <v/>
      </c>
      <c r="P24" s="19">
        <f>SUM(P18:P23)</f>
        <v/>
      </c>
      <c r="Q24" s="19">
        <f>SUM(Q18:Q23)</f>
        <v/>
      </c>
      <c r="R24" s="19">
        <f>SUM(R18:R23)</f>
        <v/>
      </c>
      <c r="S24" s="19">
        <f>SUM(S18:S23)</f>
        <v/>
      </c>
      <c r="T24" s="19">
        <f>SUM(T18:T23)</f>
        <v/>
      </c>
      <c r="U24" s="19">
        <f>SUM(U18:U23)</f>
        <v/>
      </c>
      <c r="V24" s="19">
        <f>SUM(V18:V23)</f>
        <v/>
      </c>
      <c r="W24" s="19">
        <f>SUM(W18:W23)</f>
        <v/>
      </c>
      <c r="X24" s="19">
        <f>SUM(X18:X23)</f>
        <v/>
      </c>
      <c r="Y24" s="19">
        <f>SUM(Y18:Y23)</f>
        <v/>
      </c>
      <c r="Z24" s="19">
        <f>SUM(Z18:Z23)</f>
        <v/>
      </c>
      <c r="AA24" s="19">
        <f>SUM(AA18:AA23)</f>
        <v/>
      </c>
      <c r="AB24" s="19">
        <f>SUM(AB18:AB23)</f>
        <v/>
      </c>
      <c r="AC24" s="19">
        <f>SUM(AC18:AC23)</f>
        <v/>
      </c>
      <c r="AD24" s="19">
        <f>SUM(AD18:AD23)</f>
        <v/>
      </c>
      <c r="AE24" s="19">
        <f>SUM(AE18:AE23)</f>
        <v/>
      </c>
      <c r="AF24" s="19">
        <f>SUM(AF18:AF23)</f>
        <v/>
      </c>
      <c r="AG24" s="19">
        <f>SUM(AG18:AG23)</f>
        <v/>
      </c>
      <c r="AH24" s="19">
        <f>SUM(AH18:AH23)</f>
        <v/>
      </c>
      <c r="AI24" s="19">
        <f>SUM(AI18:AI23)</f>
        <v/>
      </c>
      <c r="AJ24" s="19">
        <f>SUM(AJ18:AJ23)</f>
        <v/>
      </c>
      <c r="AK24" s="19">
        <f>SUM(AK18:AK23)</f>
        <v/>
      </c>
    </row>
    <row r="25">
      <c r="A25" s="8" t="inlineStr">
        <is>
          <t>EBE (excédent brut d'exploitation)</t>
        </is>
      </c>
      <c r="B25" s="19">
        <f>B16-B24</f>
        <v/>
      </c>
      <c r="C25" s="19">
        <f>C16-C24</f>
        <v/>
      </c>
      <c r="D25" s="19">
        <f>D16-D24</f>
        <v/>
      </c>
      <c r="E25" s="19">
        <f>E16-E24</f>
        <v/>
      </c>
      <c r="F25" s="19">
        <f>F16-F24</f>
        <v/>
      </c>
      <c r="G25" s="19">
        <f>G16-G24</f>
        <v/>
      </c>
      <c r="H25" s="19">
        <f>H16-H24</f>
        <v/>
      </c>
      <c r="I25" s="19">
        <f>I16-I24</f>
        <v/>
      </c>
      <c r="J25" s="19">
        <f>J16-J24</f>
        <v/>
      </c>
      <c r="K25" s="19">
        <f>K16-K24</f>
        <v/>
      </c>
      <c r="L25" s="19">
        <f>L16-L24</f>
        <v/>
      </c>
      <c r="M25" s="19">
        <f>M16-M24</f>
        <v/>
      </c>
      <c r="N25" s="19">
        <f>N16-N24</f>
        <v/>
      </c>
      <c r="O25" s="19">
        <f>O16-O24</f>
        <v/>
      </c>
      <c r="P25" s="19">
        <f>P16-P24</f>
        <v/>
      </c>
      <c r="Q25" s="19">
        <f>Q16-Q24</f>
        <v/>
      </c>
      <c r="R25" s="19">
        <f>R16-R24</f>
        <v/>
      </c>
      <c r="S25" s="19">
        <f>S16-S24</f>
        <v/>
      </c>
      <c r="T25" s="19">
        <f>T16-T24</f>
        <v/>
      </c>
      <c r="U25" s="19">
        <f>U16-U24</f>
        <v/>
      </c>
      <c r="V25" s="19">
        <f>V16-V24</f>
        <v/>
      </c>
      <c r="W25" s="19">
        <f>W16-W24</f>
        <v/>
      </c>
      <c r="X25" s="19">
        <f>X16-X24</f>
        <v/>
      </c>
      <c r="Y25" s="19">
        <f>Y16-Y24</f>
        <v/>
      </c>
      <c r="Z25" s="19">
        <f>Z16-Z24</f>
        <v/>
      </c>
      <c r="AA25" s="19">
        <f>AA16-AA24</f>
        <v/>
      </c>
      <c r="AB25" s="19">
        <f>AB16-AB24</f>
        <v/>
      </c>
      <c r="AC25" s="19">
        <f>AC16-AC24</f>
        <v/>
      </c>
      <c r="AD25" s="19">
        <f>AD16-AD24</f>
        <v/>
      </c>
      <c r="AE25" s="19">
        <f>AE16-AE24</f>
        <v/>
      </c>
      <c r="AF25" s="19">
        <f>AF16-AF24</f>
        <v/>
      </c>
      <c r="AG25" s="19">
        <f>AG16-AG24</f>
        <v/>
      </c>
      <c r="AH25" s="19">
        <f>AH16-AH24</f>
        <v/>
      </c>
      <c r="AI25" s="19">
        <f>AI16-AI24</f>
        <v/>
      </c>
      <c r="AJ25" s="19">
        <f>AJ16-AJ24</f>
        <v/>
      </c>
      <c r="AK25" s="19">
        <f>AK16-AK24</f>
        <v/>
      </c>
    </row>
    <row r="26">
      <c r="A26" s="14" t="inlineStr">
        <is>
          <t>TVA déductible</t>
        </is>
      </c>
      <c r="B26" s="18">
        <f>(B14+B20+B21+B22+B23)*taux_tva*part_achats_avec_tva</f>
        <v/>
      </c>
      <c r="C26" s="18">
        <f>(C14+C20+C21+C22+C23)*taux_tva*part_achats_avec_tva</f>
        <v/>
      </c>
      <c r="D26" s="18">
        <f>(D14+D20+D21+D22+D23)*taux_tva*part_achats_avec_tva</f>
        <v/>
      </c>
      <c r="E26" s="18">
        <f>(E14+E20+E21+E22+E23)*taux_tva*part_achats_avec_tva</f>
        <v/>
      </c>
      <c r="F26" s="18">
        <f>(F14+F20+F21+F22+F23)*taux_tva*part_achats_avec_tva</f>
        <v/>
      </c>
      <c r="G26" s="18">
        <f>(G14+G20+G21+G22+G23)*taux_tva*part_achats_avec_tva</f>
        <v/>
      </c>
      <c r="H26" s="18">
        <f>(H14+H20+H21+H22+H23)*taux_tva*part_achats_avec_tva</f>
        <v/>
      </c>
      <c r="I26" s="18">
        <f>(I14+I20+I21+I22+I23)*taux_tva*part_achats_avec_tva</f>
        <v/>
      </c>
      <c r="J26" s="18">
        <f>(J14+J20+J21+J22+J23)*taux_tva*part_achats_avec_tva</f>
        <v/>
      </c>
      <c r="K26" s="18">
        <f>(K14+K20+K21+K22+K23)*taux_tva*part_achats_avec_tva</f>
        <v/>
      </c>
      <c r="L26" s="18">
        <f>(L14+L20+L21+L22+L23)*taux_tva*part_achats_avec_tva</f>
        <v/>
      </c>
      <c r="M26" s="18">
        <f>(M14+M20+M21+M22+M23)*taux_tva*part_achats_avec_tva</f>
        <v/>
      </c>
      <c r="N26" s="18">
        <f>(N14+N20+N21+N22+N23)*taux_tva*part_achats_avec_tva</f>
        <v/>
      </c>
      <c r="O26" s="18">
        <f>(O14+O20+O21+O22+O23)*taux_tva*part_achats_avec_tva</f>
        <v/>
      </c>
      <c r="P26" s="18">
        <f>(P14+P20+P21+P22+P23)*taux_tva*part_achats_avec_tva</f>
        <v/>
      </c>
      <c r="Q26" s="18">
        <f>(Q14+Q20+Q21+Q22+Q23)*taux_tva*part_achats_avec_tva</f>
        <v/>
      </c>
      <c r="R26" s="18">
        <f>(R14+R20+R21+R22+R23)*taux_tva*part_achats_avec_tva</f>
        <v/>
      </c>
      <c r="S26" s="18">
        <f>(S14+S20+S21+S22+S23)*taux_tva*part_achats_avec_tva</f>
        <v/>
      </c>
      <c r="T26" s="18">
        <f>(T14+T20+T21+T22+T23)*taux_tva*part_achats_avec_tva</f>
        <v/>
      </c>
      <c r="U26" s="18">
        <f>(U14+U20+U21+U22+U23)*taux_tva*part_achats_avec_tva</f>
        <v/>
      </c>
      <c r="V26" s="18">
        <f>(V14+V20+V21+V22+V23)*taux_tva*part_achats_avec_tva</f>
        <v/>
      </c>
      <c r="W26" s="18">
        <f>(W14+W20+W21+W22+W23)*taux_tva*part_achats_avec_tva</f>
        <v/>
      </c>
      <c r="X26" s="18">
        <f>(X14+X20+X21+X22+X23)*taux_tva*part_achats_avec_tva</f>
        <v/>
      </c>
      <c r="Y26" s="18">
        <f>(Y14+Y20+Y21+Y22+Y23)*taux_tva*part_achats_avec_tva</f>
        <v/>
      </c>
      <c r="Z26" s="18">
        <f>(Z14+Z20+Z21+Z22+Z23)*taux_tva*part_achats_avec_tva</f>
        <v/>
      </c>
      <c r="AA26" s="18">
        <f>(AA14+AA20+AA21+AA22+AA23)*taux_tva*part_achats_avec_tva</f>
        <v/>
      </c>
      <c r="AB26" s="18">
        <f>(AB14+AB20+AB21+AB22+AB23)*taux_tva*part_achats_avec_tva</f>
        <v/>
      </c>
      <c r="AC26" s="18">
        <f>(AC14+AC20+AC21+AC22+AC23)*taux_tva*part_achats_avec_tva</f>
        <v/>
      </c>
      <c r="AD26" s="18">
        <f>(AD14+AD20+AD21+AD22+AD23)*taux_tva*part_achats_avec_tva</f>
        <v/>
      </c>
      <c r="AE26" s="18">
        <f>(AE14+AE20+AE21+AE22+AE23)*taux_tva*part_achats_avec_tva</f>
        <v/>
      </c>
      <c r="AF26" s="18">
        <f>(AF14+AF20+AF21+AF22+AF23)*taux_tva*part_achats_avec_tva</f>
        <v/>
      </c>
      <c r="AG26" s="18">
        <f>(AG14+AG20+AG21+AG22+AG23)*taux_tva*part_achats_avec_tva</f>
        <v/>
      </c>
      <c r="AH26" s="18">
        <f>(AH14+AH20+AH21+AH22+AH23)*taux_tva*part_achats_avec_tva</f>
        <v/>
      </c>
      <c r="AI26" s="18">
        <f>(AI14+AI20+AI21+AI22+AI23)*taux_tva*part_achats_avec_tva</f>
        <v/>
      </c>
      <c r="AJ26" s="18">
        <f>(AJ14+AJ20+AJ21+AJ22+AJ23)*taux_tva*part_achats_avec_tva</f>
        <v/>
      </c>
      <c r="AK26" s="18">
        <f>(AK14+AK20+AK21+AK22+AK23)*taux_tva*part_achats_avec_tva</f>
        <v/>
      </c>
    </row>
    <row r="27">
      <c r="A27" s="14" t="inlineStr">
        <is>
          <t>TVA nette du mois (collectée − déductible)</t>
        </is>
      </c>
      <c r="B27" s="18">
        <f>B12-B26</f>
        <v/>
      </c>
      <c r="C27" s="18">
        <f>C12-C26</f>
        <v/>
      </c>
      <c r="D27" s="18">
        <f>D12-D26</f>
        <v/>
      </c>
      <c r="E27" s="18">
        <f>E12-E26</f>
        <v/>
      </c>
      <c r="F27" s="18">
        <f>F12-F26</f>
        <v/>
      </c>
      <c r="G27" s="18">
        <f>G12-G26</f>
        <v/>
      </c>
      <c r="H27" s="18">
        <f>H12-H26</f>
        <v/>
      </c>
      <c r="I27" s="18">
        <f>I12-I26</f>
        <v/>
      </c>
      <c r="J27" s="18">
        <f>J12-J26</f>
        <v/>
      </c>
      <c r="K27" s="18">
        <f>K12-K26</f>
        <v/>
      </c>
      <c r="L27" s="18">
        <f>L12-L26</f>
        <v/>
      </c>
      <c r="M27" s="18">
        <f>M12-M26</f>
        <v/>
      </c>
      <c r="N27" s="18">
        <f>N12-N26</f>
        <v/>
      </c>
      <c r="O27" s="18">
        <f>O12-O26</f>
        <v/>
      </c>
      <c r="P27" s="18">
        <f>P12-P26</f>
        <v/>
      </c>
      <c r="Q27" s="18">
        <f>Q12-Q26</f>
        <v/>
      </c>
      <c r="R27" s="18">
        <f>R12-R26</f>
        <v/>
      </c>
      <c r="S27" s="18">
        <f>S12-S26</f>
        <v/>
      </c>
      <c r="T27" s="18">
        <f>T12-T26</f>
        <v/>
      </c>
      <c r="U27" s="18">
        <f>U12-U26</f>
        <v/>
      </c>
      <c r="V27" s="18">
        <f>V12-V26</f>
        <v/>
      </c>
      <c r="W27" s="18">
        <f>W12-W26</f>
        <v/>
      </c>
      <c r="X27" s="18">
        <f>X12-X26</f>
        <v/>
      </c>
      <c r="Y27" s="18">
        <f>Y12-Y26</f>
        <v/>
      </c>
      <c r="Z27" s="18">
        <f>Z12-Z26</f>
        <v/>
      </c>
      <c r="AA27" s="18">
        <f>AA12-AA26</f>
        <v/>
      </c>
      <c r="AB27" s="18">
        <f>AB12-AB26</f>
        <v/>
      </c>
      <c r="AC27" s="18">
        <f>AC12-AC26</f>
        <v/>
      </c>
      <c r="AD27" s="18">
        <f>AD12-AD26</f>
        <v/>
      </c>
      <c r="AE27" s="18">
        <f>AE12-AE26</f>
        <v/>
      </c>
      <c r="AF27" s="18">
        <f>AF12-AF26</f>
        <v/>
      </c>
      <c r="AG27" s="18">
        <f>AG12-AG26</f>
        <v/>
      </c>
      <c r="AH27" s="18">
        <f>AH12-AH26</f>
        <v/>
      </c>
      <c r="AI27" s="18">
        <f>AI12-AI26</f>
        <v/>
      </c>
      <c r="AJ27" s="18">
        <f>AJ12-AJ26</f>
        <v/>
      </c>
      <c r="AK27" s="18">
        <f>AK12-AK26</f>
        <v/>
      </c>
    </row>
    <row r="28">
      <c r="A28" s="14" t="inlineStr">
        <is>
          <t>TVA reversée (le mois suivant)</t>
        </is>
      </c>
      <c r="B28" s="18" t="n">
        <v>0</v>
      </c>
      <c r="C28" s="18">
        <f>MAX(0,B27)</f>
        <v/>
      </c>
      <c r="D28" s="18">
        <f>MAX(0,C27)</f>
        <v/>
      </c>
      <c r="E28" s="18">
        <f>MAX(0,D27)</f>
        <v/>
      </c>
      <c r="F28" s="18">
        <f>MAX(0,E27)</f>
        <v/>
      </c>
      <c r="G28" s="18">
        <f>MAX(0,F27)</f>
        <v/>
      </c>
      <c r="H28" s="18">
        <f>MAX(0,G27)</f>
        <v/>
      </c>
      <c r="I28" s="18">
        <f>MAX(0,H27)</f>
        <v/>
      </c>
      <c r="J28" s="18">
        <f>MAX(0,I27)</f>
        <v/>
      </c>
      <c r="K28" s="18">
        <f>MAX(0,J27)</f>
        <v/>
      </c>
      <c r="L28" s="18">
        <f>MAX(0,K27)</f>
        <v/>
      </c>
      <c r="M28" s="18">
        <f>MAX(0,L27)</f>
        <v/>
      </c>
      <c r="N28" s="18">
        <f>MAX(0,M27)</f>
        <v/>
      </c>
      <c r="O28" s="18">
        <f>MAX(0,N27)</f>
        <v/>
      </c>
      <c r="P28" s="18">
        <f>MAX(0,O27)</f>
        <v/>
      </c>
      <c r="Q28" s="18">
        <f>MAX(0,P27)</f>
        <v/>
      </c>
      <c r="R28" s="18">
        <f>MAX(0,Q27)</f>
        <v/>
      </c>
      <c r="S28" s="18">
        <f>MAX(0,R27)</f>
        <v/>
      </c>
      <c r="T28" s="18">
        <f>MAX(0,S27)</f>
        <v/>
      </c>
      <c r="U28" s="18">
        <f>MAX(0,T27)</f>
        <v/>
      </c>
      <c r="V28" s="18">
        <f>MAX(0,U27)</f>
        <v/>
      </c>
      <c r="W28" s="18">
        <f>MAX(0,V27)</f>
        <v/>
      </c>
      <c r="X28" s="18">
        <f>MAX(0,W27)</f>
        <v/>
      </c>
      <c r="Y28" s="18">
        <f>MAX(0,X27)</f>
        <v/>
      </c>
      <c r="Z28" s="18">
        <f>MAX(0,Y27)</f>
        <v/>
      </c>
      <c r="AA28" s="18">
        <f>MAX(0,Z27)</f>
        <v/>
      </c>
      <c r="AB28" s="18">
        <f>MAX(0,AA27)</f>
        <v/>
      </c>
      <c r="AC28" s="18">
        <f>MAX(0,AB27)</f>
        <v/>
      </c>
      <c r="AD28" s="18">
        <f>MAX(0,AC27)</f>
        <v/>
      </c>
      <c r="AE28" s="18">
        <f>MAX(0,AD27)</f>
        <v/>
      </c>
      <c r="AF28" s="18">
        <f>MAX(0,AE27)</f>
        <v/>
      </c>
      <c r="AG28" s="18">
        <f>MAX(0,AF27)</f>
        <v/>
      </c>
      <c r="AH28" s="18">
        <f>MAX(0,AG27)</f>
        <v/>
      </c>
      <c r="AI28" s="18">
        <f>MAX(0,AH27)</f>
        <v/>
      </c>
      <c r="AJ28" s="18">
        <f>MAX(0,AI27)</f>
        <v/>
      </c>
      <c r="AK28" s="18">
        <f>MAX(0,AJ27)</f>
        <v/>
      </c>
    </row>
    <row r="29">
      <c r="A29" s="14" t="inlineStr">
        <is>
          <t>IS payé</t>
        </is>
      </c>
      <c r="B29" s="18">
        <f>IF(AND(B3&gt;1,MOD(B2-1,12)+1=mois_paiement_is),INDEX(Annuel!$B$13:$D$13,B3-1),0)</f>
        <v/>
      </c>
      <c r="C29" s="18">
        <f>IF(AND(C3&gt;1,MOD(C2-1,12)+1=mois_paiement_is),INDEX(Annuel!$B$13:$D$13,C3-1),0)</f>
        <v/>
      </c>
      <c r="D29" s="18">
        <f>IF(AND(D3&gt;1,MOD(D2-1,12)+1=mois_paiement_is),INDEX(Annuel!$B$13:$D$13,D3-1),0)</f>
        <v/>
      </c>
      <c r="E29" s="18">
        <f>IF(AND(E3&gt;1,MOD(E2-1,12)+1=mois_paiement_is),INDEX(Annuel!$B$13:$D$13,E3-1),0)</f>
        <v/>
      </c>
      <c r="F29" s="18">
        <f>IF(AND(F3&gt;1,MOD(F2-1,12)+1=mois_paiement_is),INDEX(Annuel!$B$13:$D$13,F3-1),0)</f>
        <v/>
      </c>
      <c r="G29" s="18">
        <f>IF(AND(G3&gt;1,MOD(G2-1,12)+1=mois_paiement_is),INDEX(Annuel!$B$13:$D$13,G3-1),0)</f>
        <v/>
      </c>
      <c r="H29" s="18">
        <f>IF(AND(H3&gt;1,MOD(H2-1,12)+1=mois_paiement_is),INDEX(Annuel!$B$13:$D$13,H3-1),0)</f>
        <v/>
      </c>
      <c r="I29" s="18">
        <f>IF(AND(I3&gt;1,MOD(I2-1,12)+1=mois_paiement_is),INDEX(Annuel!$B$13:$D$13,I3-1),0)</f>
        <v/>
      </c>
      <c r="J29" s="18">
        <f>IF(AND(J3&gt;1,MOD(J2-1,12)+1=mois_paiement_is),INDEX(Annuel!$B$13:$D$13,J3-1),0)</f>
        <v/>
      </c>
      <c r="K29" s="18">
        <f>IF(AND(K3&gt;1,MOD(K2-1,12)+1=mois_paiement_is),INDEX(Annuel!$B$13:$D$13,K3-1),0)</f>
        <v/>
      </c>
      <c r="L29" s="18">
        <f>IF(AND(L3&gt;1,MOD(L2-1,12)+1=mois_paiement_is),INDEX(Annuel!$B$13:$D$13,L3-1),0)</f>
        <v/>
      </c>
      <c r="M29" s="18">
        <f>IF(AND(M3&gt;1,MOD(M2-1,12)+1=mois_paiement_is),INDEX(Annuel!$B$13:$D$13,M3-1),0)</f>
        <v/>
      </c>
      <c r="N29" s="18">
        <f>IF(AND(N3&gt;1,MOD(N2-1,12)+1=mois_paiement_is),INDEX(Annuel!$B$13:$D$13,N3-1),0)</f>
        <v/>
      </c>
      <c r="O29" s="18">
        <f>IF(AND(O3&gt;1,MOD(O2-1,12)+1=mois_paiement_is),INDEX(Annuel!$B$13:$D$13,O3-1),0)</f>
        <v/>
      </c>
      <c r="P29" s="18">
        <f>IF(AND(P3&gt;1,MOD(P2-1,12)+1=mois_paiement_is),INDEX(Annuel!$B$13:$D$13,P3-1),0)</f>
        <v/>
      </c>
      <c r="Q29" s="18">
        <f>IF(AND(Q3&gt;1,MOD(Q2-1,12)+1=mois_paiement_is),INDEX(Annuel!$B$13:$D$13,Q3-1),0)</f>
        <v/>
      </c>
      <c r="R29" s="18">
        <f>IF(AND(R3&gt;1,MOD(R2-1,12)+1=mois_paiement_is),INDEX(Annuel!$B$13:$D$13,R3-1),0)</f>
        <v/>
      </c>
      <c r="S29" s="18">
        <f>IF(AND(S3&gt;1,MOD(S2-1,12)+1=mois_paiement_is),INDEX(Annuel!$B$13:$D$13,S3-1),0)</f>
        <v/>
      </c>
      <c r="T29" s="18">
        <f>IF(AND(T3&gt;1,MOD(T2-1,12)+1=mois_paiement_is),INDEX(Annuel!$B$13:$D$13,T3-1),0)</f>
        <v/>
      </c>
      <c r="U29" s="18">
        <f>IF(AND(U3&gt;1,MOD(U2-1,12)+1=mois_paiement_is),INDEX(Annuel!$B$13:$D$13,U3-1),0)</f>
        <v/>
      </c>
      <c r="V29" s="18">
        <f>IF(AND(V3&gt;1,MOD(V2-1,12)+1=mois_paiement_is),INDEX(Annuel!$B$13:$D$13,V3-1),0)</f>
        <v/>
      </c>
      <c r="W29" s="18">
        <f>IF(AND(W3&gt;1,MOD(W2-1,12)+1=mois_paiement_is),INDEX(Annuel!$B$13:$D$13,W3-1),0)</f>
        <v/>
      </c>
      <c r="X29" s="18">
        <f>IF(AND(X3&gt;1,MOD(X2-1,12)+1=mois_paiement_is),INDEX(Annuel!$B$13:$D$13,X3-1),0)</f>
        <v/>
      </c>
      <c r="Y29" s="18">
        <f>IF(AND(Y3&gt;1,MOD(Y2-1,12)+1=mois_paiement_is),INDEX(Annuel!$B$13:$D$13,Y3-1),0)</f>
        <v/>
      </c>
      <c r="Z29" s="18">
        <f>IF(AND(Z3&gt;1,MOD(Z2-1,12)+1=mois_paiement_is),INDEX(Annuel!$B$13:$D$13,Z3-1),0)</f>
        <v/>
      </c>
      <c r="AA29" s="18">
        <f>IF(AND(AA3&gt;1,MOD(AA2-1,12)+1=mois_paiement_is),INDEX(Annuel!$B$13:$D$13,AA3-1),0)</f>
        <v/>
      </c>
      <c r="AB29" s="18">
        <f>IF(AND(AB3&gt;1,MOD(AB2-1,12)+1=mois_paiement_is),INDEX(Annuel!$B$13:$D$13,AB3-1),0)</f>
        <v/>
      </c>
      <c r="AC29" s="18">
        <f>IF(AND(AC3&gt;1,MOD(AC2-1,12)+1=mois_paiement_is),INDEX(Annuel!$B$13:$D$13,AC3-1),0)</f>
        <v/>
      </c>
      <c r="AD29" s="18">
        <f>IF(AND(AD3&gt;1,MOD(AD2-1,12)+1=mois_paiement_is),INDEX(Annuel!$B$13:$D$13,AD3-1),0)</f>
        <v/>
      </c>
      <c r="AE29" s="18">
        <f>IF(AND(AE3&gt;1,MOD(AE2-1,12)+1=mois_paiement_is),INDEX(Annuel!$B$13:$D$13,AE3-1),0)</f>
        <v/>
      </c>
      <c r="AF29" s="18">
        <f>IF(AND(AF3&gt;1,MOD(AF2-1,12)+1=mois_paiement_is),INDEX(Annuel!$B$13:$D$13,AF3-1),0)</f>
        <v/>
      </c>
      <c r="AG29" s="18">
        <f>IF(AND(AG3&gt;1,MOD(AG2-1,12)+1=mois_paiement_is),INDEX(Annuel!$B$13:$D$13,AG3-1),0)</f>
        <v/>
      </c>
      <c r="AH29" s="18">
        <f>IF(AND(AH3&gt;1,MOD(AH2-1,12)+1=mois_paiement_is),INDEX(Annuel!$B$13:$D$13,AH3-1),0)</f>
        <v/>
      </c>
      <c r="AI29" s="18">
        <f>IF(AND(AI3&gt;1,MOD(AI2-1,12)+1=mois_paiement_is),INDEX(Annuel!$B$13:$D$13,AI3-1),0)</f>
        <v/>
      </c>
      <c r="AJ29" s="18">
        <f>IF(AND(AJ3&gt;1,MOD(AJ2-1,12)+1=mois_paiement_is),INDEX(Annuel!$B$13:$D$13,AJ3-1),0)</f>
        <v/>
      </c>
      <c r="AK29" s="18">
        <f>IF(AND(AK3&gt;1,MOD(AK2-1,12)+1=mois_paiement_is),INDEX(Annuel!$B$13:$D$13,AK3-1),0)</f>
        <v/>
      </c>
    </row>
    <row r="30">
      <c r="A30" s="14" t="inlineStr">
        <is>
          <t>Investissements</t>
        </is>
      </c>
      <c r="B30" s="18">
        <f>IF(B2=1,investissement_initial,0)</f>
        <v/>
      </c>
      <c r="C30" s="18">
        <f>IF(C2=1,investissement_initial,0)</f>
        <v/>
      </c>
      <c r="D30" s="18">
        <f>IF(D2=1,investissement_initial,0)</f>
        <v/>
      </c>
      <c r="E30" s="18">
        <f>IF(E2=1,investissement_initial,0)</f>
        <v/>
      </c>
      <c r="F30" s="18">
        <f>IF(F2=1,investissement_initial,0)</f>
        <v/>
      </c>
      <c r="G30" s="18">
        <f>IF(G2=1,investissement_initial,0)</f>
        <v/>
      </c>
      <c r="H30" s="18">
        <f>IF(H2=1,investissement_initial,0)</f>
        <v/>
      </c>
      <c r="I30" s="18">
        <f>IF(I2=1,investissement_initial,0)</f>
        <v/>
      </c>
      <c r="J30" s="18">
        <f>IF(J2=1,investissement_initial,0)</f>
        <v/>
      </c>
      <c r="K30" s="18">
        <f>IF(K2=1,investissement_initial,0)</f>
        <v/>
      </c>
      <c r="L30" s="18">
        <f>IF(L2=1,investissement_initial,0)</f>
        <v/>
      </c>
      <c r="M30" s="18">
        <f>IF(M2=1,investissement_initial,0)</f>
        <v/>
      </c>
      <c r="N30" s="18">
        <f>IF(N2=1,investissement_initial,0)</f>
        <v/>
      </c>
      <c r="O30" s="18">
        <f>IF(O2=1,investissement_initial,0)</f>
        <v/>
      </c>
      <c r="P30" s="18">
        <f>IF(P2=1,investissement_initial,0)</f>
        <v/>
      </c>
      <c r="Q30" s="18">
        <f>IF(Q2=1,investissement_initial,0)</f>
        <v/>
      </c>
      <c r="R30" s="18">
        <f>IF(R2=1,investissement_initial,0)</f>
        <v/>
      </c>
      <c r="S30" s="18">
        <f>IF(S2=1,investissement_initial,0)</f>
        <v/>
      </c>
      <c r="T30" s="18">
        <f>IF(T2=1,investissement_initial,0)</f>
        <v/>
      </c>
      <c r="U30" s="18">
        <f>IF(U2=1,investissement_initial,0)</f>
        <v/>
      </c>
      <c r="V30" s="18">
        <f>IF(V2=1,investissement_initial,0)</f>
        <v/>
      </c>
      <c r="W30" s="18">
        <f>IF(W2=1,investissement_initial,0)</f>
        <v/>
      </c>
      <c r="X30" s="18">
        <f>IF(X2=1,investissement_initial,0)</f>
        <v/>
      </c>
      <c r="Y30" s="18">
        <f>IF(Y2=1,investissement_initial,0)</f>
        <v/>
      </c>
      <c r="Z30" s="18">
        <f>IF(Z2=1,investissement_initial,0)</f>
        <v/>
      </c>
      <c r="AA30" s="18">
        <f>IF(AA2=1,investissement_initial,0)</f>
        <v/>
      </c>
      <c r="AB30" s="18">
        <f>IF(AB2=1,investissement_initial,0)</f>
        <v/>
      </c>
      <c r="AC30" s="18">
        <f>IF(AC2=1,investissement_initial,0)</f>
        <v/>
      </c>
      <c r="AD30" s="18">
        <f>IF(AD2=1,investissement_initial,0)</f>
        <v/>
      </c>
      <c r="AE30" s="18">
        <f>IF(AE2=1,investissement_initial,0)</f>
        <v/>
      </c>
      <c r="AF30" s="18">
        <f>IF(AF2=1,investissement_initial,0)</f>
        <v/>
      </c>
      <c r="AG30" s="18">
        <f>IF(AG2=1,investissement_initial,0)</f>
        <v/>
      </c>
      <c r="AH30" s="18">
        <f>IF(AH2=1,investissement_initial,0)</f>
        <v/>
      </c>
      <c r="AI30" s="18">
        <f>IF(AI2=1,investissement_initial,0)</f>
        <v/>
      </c>
      <c r="AJ30" s="18">
        <f>IF(AJ2=1,investissement_initial,0)</f>
        <v/>
      </c>
      <c r="AK30" s="18">
        <f>IF(AK2=1,investissement_initial,0)</f>
        <v/>
      </c>
    </row>
    <row r="31">
      <c r="A31" s="8" t="inlineStr">
        <is>
          <t>Total décaissements</t>
        </is>
      </c>
      <c r="B31" s="19">
        <f>B14+B15+B18+B19+B20+B21+B22+B23+B28+B29+B30</f>
        <v/>
      </c>
      <c r="C31" s="19">
        <f>C14+C15+C18+C19+C20+C21+C22+C23+C28+C29+C30</f>
        <v/>
      </c>
      <c r="D31" s="19">
        <f>D14+D15+D18+D19+D20+D21+D22+D23+D28+D29+D30</f>
        <v/>
      </c>
      <c r="E31" s="19">
        <f>E14+E15+E18+E19+E20+E21+E22+E23+E28+E29+E30</f>
        <v/>
      </c>
      <c r="F31" s="19">
        <f>F14+F15+F18+F19+F20+F21+F22+F23+F28+F29+F30</f>
        <v/>
      </c>
      <c r="G31" s="19">
        <f>G14+G15+G18+G19+G20+G21+G22+G23+G28+G29+G30</f>
        <v/>
      </c>
      <c r="H31" s="19">
        <f>H14+H15+H18+H19+H20+H21+H22+H23+H28+H29+H30</f>
        <v/>
      </c>
      <c r="I31" s="19">
        <f>I14+I15+I18+I19+I20+I21+I22+I23+I28+I29+I30</f>
        <v/>
      </c>
      <c r="J31" s="19">
        <f>J14+J15+J18+J19+J20+J21+J22+J23+J28+J29+J30</f>
        <v/>
      </c>
      <c r="K31" s="19">
        <f>K14+K15+K18+K19+K20+K21+K22+K23+K28+K29+K30</f>
        <v/>
      </c>
      <c r="L31" s="19">
        <f>L14+L15+L18+L19+L20+L21+L22+L23+L28+L29+L30</f>
        <v/>
      </c>
      <c r="M31" s="19">
        <f>M14+M15+M18+M19+M20+M21+M22+M23+M28+M29+M30</f>
        <v/>
      </c>
      <c r="N31" s="19">
        <f>N14+N15+N18+N19+N20+N21+N22+N23+N28+N29+N30</f>
        <v/>
      </c>
      <c r="O31" s="19">
        <f>O14+O15+O18+O19+O20+O21+O22+O23+O28+O29+O30</f>
        <v/>
      </c>
      <c r="P31" s="19">
        <f>P14+P15+P18+P19+P20+P21+P22+P23+P28+P29+P30</f>
        <v/>
      </c>
      <c r="Q31" s="19">
        <f>Q14+Q15+Q18+Q19+Q20+Q21+Q22+Q23+Q28+Q29+Q30</f>
        <v/>
      </c>
      <c r="R31" s="19">
        <f>R14+R15+R18+R19+R20+R21+R22+R23+R28+R29+R30</f>
        <v/>
      </c>
      <c r="S31" s="19">
        <f>S14+S15+S18+S19+S20+S21+S22+S23+S28+S29+S30</f>
        <v/>
      </c>
      <c r="T31" s="19">
        <f>T14+T15+T18+T19+T20+T21+T22+T23+T28+T29+T30</f>
        <v/>
      </c>
      <c r="U31" s="19">
        <f>U14+U15+U18+U19+U20+U21+U22+U23+U28+U29+U30</f>
        <v/>
      </c>
      <c r="V31" s="19">
        <f>V14+V15+V18+V19+V20+V21+V22+V23+V28+V29+V30</f>
        <v/>
      </c>
      <c r="W31" s="19">
        <f>W14+W15+W18+W19+W20+W21+W22+W23+W28+W29+W30</f>
        <v/>
      </c>
      <c r="X31" s="19">
        <f>X14+X15+X18+X19+X20+X21+X22+X23+X28+X29+X30</f>
        <v/>
      </c>
      <c r="Y31" s="19">
        <f>Y14+Y15+Y18+Y19+Y20+Y21+Y22+Y23+Y28+Y29+Y30</f>
        <v/>
      </c>
      <c r="Z31" s="19">
        <f>Z14+Z15+Z18+Z19+Z20+Z21+Z22+Z23+Z28+Z29+Z30</f>
        <v/>
      </c>
      <c r="AA31" s="19">
        <f>AA14+AA15+AA18+AA19+AA20+AA21+AA22+AA23+AA28+AA29+AA30</f>
        <v/>
      </c>
      <c r="AB31" s="19">
        <f>AB14+AB15+AB18+AB19+AB20+AB21+AB22+AB23+AB28+AB29+AB30</f>
        <v/>
      </c>
      <c r="AC31" s="19">
        <f>AC14+AC15+AC18+AC19+AC20+AC21+AC22+AC23+AC28+AC29+AC30</f>
        <v/>
      </c>
      <c r="AD31" s="19">
        <f>AD14+AD15+AD18+AD19+AD20+AD21+AD22+AD23+AD28+AD29+AD30</f>
        <v/>
      </c>
      <c r="AE31" s="19">
        <f>AE14+AE15+AE18+AE19+AE20+AE21+AE22+AE23+AE28+AE29+AE30</f>
        <v/>
      </c>
      <c r="AF31" s="19">
        <f>AF14+AF15+AF18+AF19+AF20+AF21+AF22+AF23+AF28+AF29+AF30</f>
        <v/>
      </c>
      <c r="AG31" s="19">
        <f>AG14+AG15+AG18+AG19+AG20+AG21+AG22+AG23+AG28+AG29+AG30</f>
        <v/>
      </c>
      <c r="AH31" s="19">
        <f>AH14+AH15+AH18+AH19+AH20+AH21+AH22+AH23+AH28+AH29+AH30</f>
        <v/>
      </c>
      <c r="AI31" s="19">
        <f>AI14+AI15+AI18+AI19+AI20+AI21+AI22+AI23+AI28+AI29+AI30</f>
        <v/>
      </c>
      <c r="AJ31" s="19">
        <f>AJ14+AJ15+AJ18+AJ19+AJ20+AJ21+AJ22+AJ23+AJ28+AJ29+AJ30</f>
        <v/>
      </c>
      <c r="AK31" s="19">
        <f>AK14+AK15+AK18+AK19+AK20+AK21+AK22+AK23+AK28+AK29+AK30</f>
        <v/>
      </c>
    </row>
    <row r="32">
      <c r="A32" s="14" t="inlineStr">
        <is>
          <t>Flux de trésorerie net</t>
        </is>
      </c>
      <c r="B32" s="18">
        <f>B13-B31</f>
        <v/>
      </c>
      <c r="C32" s="18">
        <f>C13-C31</f>
        <v/>
      </c>
      <c r="D32" s="18">
        <f>D13-D31</f>
        <v/>
      </c>
      <c r="E32" s="18">
        <f>E13-E31</f>
        <v/>
      </c>
      <c r="F32" s="18">
        <f>F13-F31</f>
        <v/>
      </c>
      <c r="G32" s="18">
        <f>G13-G31</f>
        <v/>
      </c>
      <c r="H32" s="18">
        <f>H13-H31</f>
        <v/>
      </c>
      <c r="I32" s="18">
        <f>I13-I31</f>
        <v/>
      </c>
      <c r="J32" s="18">
        <f>J13-J31</f>
        <v/>
      </c>
      <c r="K32" s="18">
        <f>K13-K31</f>
        <v/>
      </c>
      <c r="L32" s="18">
        <f>L13-L31</f>
        <v/>
      </c>
      <c r="M32" s="18">
        <f>M13-M31</f>
        <v/>
      </c>
      <c r="N32" s="18">
        <f>N13-N31</f>
        <v/>
      </c>
      <c r="O32" s="18">
        <f>O13-O31</f>
        <v/>
      </c>
      <c r="P32" s="18">
        <f>P13-P31</f>
        <v/>
      </c>
      <c r="Q32" s="18">
        <f>Q13-Q31</f>
        <v/>
      </c>
      <c r="R32" s="18">
        <f>R13-R31</f>
        <v/>
      </c>
      <c r="S32" s="18">
        <f>S13-S31</f>
        <v/>
      </c>
      <c r="T32" s="18">
        <f>T13-T31</f>
        <v/>
      </c>
      <c r="U32" s="18">
        <f>U13-U31</f>
        <v/>
      </c>
      <c r="V32" s="18">
        <f>V13-V31</f>
        <v/>
      </c>
      <c r="W32" s="18">
        <f>W13-W31</f>
        <v/>
      </c>
      <c r="X32" s="18">
        <f>X13-X31</f>
        <v/>
      </c>
      <c r="Y32" s="18">
        <f>Y13-Y31</f>
        <v/>
      </c>
      <c r="Z32" s="18">
        <f>Z13-Z31</f>
        <v/>
      </c>
      <c r="AA32" s="18">
        <f>AA13-AA31</f>
        <v/>
      </c>
      <c r="AB32" s="18">
        <f>AB13-AB31</f>
        <v/>
      </c>
      <c r="AC32" s="18">
        <f>AC13-AC31</f>
        <v/>
      </c>
      <c r="AD32" s="18">
        <f>AD13-AD31</f>
        <v/>
      </c>
      <c r="AE32" s="18">
        <f>AE13-AE31</f>
        <v/>
      </c>
      <c r="AF32" s="18">
        <f>AF13-AF31</f>
        <v/>
      </c>
      <c r="AG32" s="18">
        <f>AG13-AG31</f>
        <v/>
      </c>
      <c r="AH32" s="18">
        <f>AH13-AH31</f>
        <v/>
      </c>
      <c r="AI32" s="18">
        <f>AI13-AI31</f>
        <v/>
      </c>
      <c r="AJ32" s="18">
        <f>AJ13-AJ31</f>
        <v/>
      </c>
      <c r="AK32" s="18">
        <f>AK13-AK31</f>
        <v/>
      </c>
    </row>
    <row r="33">
      <c r="A33" s="8" t="inlineStr">
        <is>
          <t>Trésorerie en fin de mois</t>
        </is>
      </c>
      <c r="B33" s="19">
        <f>apport_initial+B32</f>
        <v/>
      </c>
      <c r="C33" s="19">
        <f>B33+C32</f>
        <v/>
      </c>
      <c r="D33" s="19">
        <f>C33+D32</f>
        <v/>
      </c>
      <c r="E33" s="19">
        <f>D33+E32</f>
        <v/>
      </c>
      <c r="F33" s="19">
        <f>E33+F32</f>
        <v/>
      </c>
      <c r="G33" s="19">
        <f>F33+G32</f>
        <v/>
      </c>
      <c r="H33" s="19">
        <f>G33+H32</f>
        <v/>
      </c>
      <c r="I33" s="19">
        <f>H33+I32</f>
        <v/>
      </c>
      <c r="J33" s="19">
        <f>I33+J32</f>
        <v/>
      </c>
      <c r="K33" s="19">
        <f>J33+K32</f>
        <v/>
      </c>
      <c r="L33" s="19">
        <f>K33+L32</f>
        <v/>
      </c>
      <c r="M33" s="19">
        <f>L33+M32</f>
        <v/>
      </c>
      <c r="N33" s="19">
        <f>M33+N32</f>
        <v/>
      </c>
      <c r="O33" s="19">
        <f>N33+O32</f>
        <v/>
      </c>
      <c r="P33" s="19">
        <f>O33+P32</f>
        <v/>
      </c>
      <c r="Q33" s="19">
        <f>P33+Q32</f>
        <v/>
      </c>
      <c r="R33" s="19">
        <f>Q33+R32</f>
        <v/>
      </c>
      <c r="S33" s="19">
        <f>R33+S32</f>
        <v/>
      </c>
      <c r="T33" s="19">
        <f>S33+T32</f>
        <v/>
      </c>
      <c r="U33" s="19">
        <f>T33+U32</f>
        <v/>
      </c>
      <c r="V33" s="19">
        <f>U33+V32</f>
        <v/>
      </c>
      <c r="W33" s="19">
        <f>V33+W32</f>
        <v/>
      </c>
      <c r="X33" s="19">
        <f>W33+X32</f>
        <v/>
      </c>
      <c r="Y33" s="19">
        <f>X33+Y32</f>
        <v/>
      </c>
      <c r="Z33" s="19">
        <f>Y33+Z32</f>
        <v/>
      </c>
      <c r="AA33" s="19">
        <f>Z33+AA32</f>
        <v/>
      </c>
      <c r="AB33" s="19">
        <f>AA33+AB32</f>
        <v/>
      </c>
      <c r="AC33" s="19">
        <f>AB33+AC32</f>
        <v/>
      </c>
      <c r="AD33" s="19">
        <f>AC33+AD32</f>
        <v/>
      </c>
      <c r="AE33" s="19">
        <f>AD33+AE32</f>
        <v/>
      </c>
      <c r="AF33" s="19">
        <f>AE33+AF32</f>
        <v/>
      </c>
      <c r="AG33" s="19">
        <f>AF33+AG32</f>
        <v/>
      </c>
      <c r="AH33" s="19">
        <f>AG33+AH32</f>
        <v/>
      </c>
      <c r="AI33" s="19">
        <f>AH33+AI32</f>
        <v/>
      </c>
      <c r="AJ33" s="19">
        <f>AI33+AJ32</f>
        <v/>
      </c>
      <c r="AK33" s="19">
        <f>AJ33+AK32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Année</t>
        </is>
      </c>
      <c r="B1" s="2" t="n">
        <v>1</v>
      </c>
      <c r="C1" s="2" t="n">
        <v>2</v>
      </c>
      <c r="D1" s="2" t="n">
        <v>3</v>
      </c>
    </row>
    <row r="2">
      <c r="A2" s="14" t="inlineStr">
        <is>
          <t>CA abonnements HT</t>
        </is>
      </c>
      <c r="B2" s="18">
        <f>SUMIF(Mensuel!$B$3:$AK$3,B$1,Mensuel!$B$9:$AK$9)</f>
        <v/>
      </c>
      <c r="C2" s="18">
        <f>SUMIF(Mensuel!$B$3:$AK$3,C$1,Mensuel!$B$9:$AK$9)</f>
        <v/>
      </c>
      <c r="D2" s="18">
        <f>SUMIF(Mensuel!$B$3:$AK$3,D$1,Mensuel!$B$9:$AK$9)</f>
        <v/>
      </c>
    </row>
    <row r="3">
      <c r="A3" s="14" t="inlineStr">
        <is>
          <t>Commissions B2C HT</t>
        </is>
      </c>
      <c r="B3" s="18">
        <f>SUMIF(Mensuel!$B$3:$AK$3,B$1,Mensuel!$B$10:$AK$10)</f>
        <v/>
      </c>
      <c r="C3" s="18">
        <f>SUMIF(Mensuel!$B$3:$AK$3,C$1,Mensuel!$B$10:$AK$10)</f>
        <v/>
      </c>
      <c r="D3" s="18">
        <f>SUMIF(Mensuel!$B$3:$AK$3,D$1,Mensuel!$B$10:$AK$10)</f>
        <v/>
      </c>
    </row>
    <row r="4">
      <c r="A4" s="8" t="inlineStr">
        <is>
          <t>CA total HT</t>
        </is>
      </c>
      <c r="B4" s="18">
        <f>SUMIF(Mensuel!$B$3:$AK$3,B$1,Mensuel!$B$11:$AK$11)</f>
        <v/>
      </c>
      <c r="C4" s="18">
        <f>SUMIF(Mensuel!$B$3:$AK$3,C$1,Mensuel!$B$11:$AK$11)</f>
        <v/>
      </c>
      <c r="D4" s="18">
        <f>SUMIF(Mensuel!$B$3:$AK$3,D$1,Mensuel!$B$11:$AK$11)</f>
        <v/>
      </c>
    </row>
    <row r="5">
      <c r="A5" s="14" t="inlineStr">
        <is>
          <t>Marge brute</t>
        </is>
      </c>
      <c r="B5" s="18">
        <f>SUMIF(Mensuel!$B$3:$AK$3,B$1,Mensuel!$B$16:$AK$16)</f>
        <v/>
      </c>
      <c r="C5" s="18">
        <f>SUMIF(Mensuel!$B$3:$AK$3,C$1,Mensuel!$B$16:$AK$16)</f>
        <v/>
      </c>
      <c r="D5" s="18">
        <f>SUMIF(Mensuel!$B$3:$AK$3,D$1,Mensuel!$B$16:$AK$16)</f>
        <v/>
      </c>
    </row>
    <row r="6">
      <c r="A6" s="14" t="inlineStr">
        <is>
          <t>Charges d'exploitation</t>
        </is>
      </c>
      <c r="B6" s="18">
        <f>SUMIF(Mensuel!$B$3:$AK$3,B$1,Mensuel!$B$24:$AK$24)</f>
        <v/>
      </c>
      <c r="C6" s="18">
        <f>SUMIF(Mensuel!$B$3:$AK$3,C$1,Mensuel!$B$24:$AK$24)</f>
        <v/>
      </c>
      <c r="D6" s="18">
        <f>SUMIF(Mensuel!$B$3:$AK$3,D$1,Mensuel!$B$24:$AK$24)</f>
        <v/>
      </c>
    </row>
    <row r="7">
      <c r="A7" s="8" t="inlineStr">
        <is>
          <t>EBE</t>
        </is>
      </c>
      <c r="B7" s="18">
        <f>SUMIF(Mensuel!$B$3:$AK$3,B$1,Mensuel!$B$25:$AK$25)</f>
        <v/>
      </c>
      <c r="C7" s="18">
        <f>SUMIF(Mensuel!$B$3:$AK$3,C$1,Mensuel!$B$25:$AK$25)</f>
        <v/>
      </c>
      <c r="D7" s="18">
        <f>SUMIF(Mensuel!$B$3:$AK$3,D$1,Mensuel!$B$25:$AK$25)</f>
        <v/>
      </c>
    </row>
    <row r="8">
      <c r="A8" s="14" t="inlineStr">
        <is>
          <t>Dotations aux amortissements</t>
        </is>
      </c>
      <c r="B8" s="18">
        <f>IF(B1&lt;=duree_amortissement,investissement_initial/duree_amortissement,0)</f>
        <v/>
      </c>
      <c r="C8" s="18">
        <f>IF(C1&lt;=duree_amortissement,investissement_initial/duree_amortissement,0)</f>
        <v/>
      </c>
      <c r="D8" s="18">
        <f>IF(D1&lt;=duree_amortissement,investissement_initial/duree_amortissement,0)</f>
        <v/>
      </c>
    </row>
    <row r="9">
      <c r="A9" s="8" t="inlineStr">
        <is>
          <t>Résultat avant impôt</t>
        </is>
      </c>
      <c r="B9" s="18">
        <f>B7-B8</f>
        <v/>
      </c>
      <c r="C9" s="18">
        <f>C7-C8</f>
        <v/>
      </c>
      <c r="D9" s="18">
        <f>D7-D8</f>
        <v/>
      </c>
    </row>
    <row r="10">
      <c r="A10" s="14" t="inlineStr">
        <is>
          <t>IS théorique (taux × base imposable après report des déficits)</t>
        </is>
      </c>
      <c r="B10" s="18">
        <f>B21*taux_is</f>
        <v/>
      </c>
      <c r="C10" s="18">
        <f>C21*taux_is</f>
        <v/>
      </c>
      <c r="D10" s="18">
        <f>D21*taux_is</f>
        <v/>
      </c>
    </row>
    <row r="11">
      <c r="A11" s="14" t="inlineStr">
        <is>
          <t>Minimum d'imposition (% du CA)</t>
        </is>
      </c>
      <c r="B11" s="18">
        <f>B4*taux_minimum_is</f>
        <v/>
      </c>
      <c r="C11" s="18">
        <f>C4*taux_minimum_is</f>
        <v/>
      </c>
      <c r="D11" s="18">
        <f>D4*taux_minimum_is</f>
        <v/>
      </c>
    </row>
    <row r="12">
      <c r="A12" s="14" t="inlineStr"/>
    </row>
    <row r="13">
      <c r="A13" s="8" t="inlineStr">
        <is>
          <t>IS dû (le plus élevé des deux)</t>
        </is>
      </c>
      <c r="B13" s="18">
        <f>MAX(B10,B11)</f>
        <v/>
      </c>
      <c r="C13" s="18">
        <f>MAX(C10,C11)</f>
        <v/>
      </c>
      <c r="D13" s="18">
        <f>MAX(D10,D11)</f>
        <v/>
      </c>
    </row>
    <row r="14">
      <c r="A14" s="8" t="inlineStr">
        <is>
          <t>Résultat net</t>
        </is>
      </c>
      <c r="B14" s="18">
        <f>B9-B13</f>
        <v/>
      </c>
      <c r="C14" s="18">
        <f>C9-C13</f>
        <v/>
      </c>
      <c r="D14" s="18">
        <f>D9-D13</f>
        <v/>
      </c>
    </row>
    <row r="15">
      <c r="A15" s="14" t="inlineStr">
        <is>
          <t>Clients en fin d'année</t>
        </is>
      </c>
      <c r="B15" s="16">
        <f>INDEX(Mensuel!$B$7:$AK$7,B1*12)</f>
        <v/>
      </c>
      <c r="C15" s="16">
        <f>INDEX(Mensuel!$B$7:$AK$7,C1*12)</f>
        <v/>
      </c>
      <c r="D15" s="16">
        <f>INDEX(Mensuel!$B$7:$AK$7,D1*12)</f>
        <v/>
      </c>
    </row>
    <row r="16">
      <c r="A16" s="14" t="inlineStr">
        <is>
          <t>MRR en fin d'année</t>
        </is>
      </c>
      <c r="B16" s="18">
        <f>INDEX(Mensuel!$B$9:$AK$9,B1*12)</f>
        <v/>
      </c>
      <c r="C16" s="18">
        <f>INDEX(Mensuel!$B$9:$AK$9,C1*12)</f>
        <v/>
      </c>
      <c r="D16" s="18">
        <f>INDEX(Mensuel!$B$9:$AK$9,D1*12)</f>
        <v/>
      </c>
    </row>
    <row r="17">
      <c r="A17" s="14" t="inlineStr">
        <is>
          <t>ARR en fin d'année</t>
        </is>
      </c>
      <c r="B17" s="18">
        <f>B16*12</f>
        <v/>
      </c>
      <c r="C17" s="18">
        <f>C16*12</f>
        <v/>
      </c>
      <c r="D17" s="18">
        <f>D16*12</f>
        <v/>
      </c>
    </row>
    <row r="18">
      <c r="A18" s="14" t="inlineStr">
        <is>
          <t>Trésorerie en fin d'année</t>
        </is>
      </c>
      <c r="B18" s="18">
        <f>INDEX(Mensuel!$B$33:$AK$33,B1*12)</f>
        <v/>
      </c>
      <c r="C18" s="18">
        <f>INDEX(Mensuel!$B$33:$AK$33,C1*12)</f>
        <v/>
      </c>
      <c r="D18" s="18">
        <f>INDEX(Mensuel!$B$33:$AK$33,D1*12)</f>
        <v/>
      </c>
    </row>
    <row r="19">
      <c r="A19" s="14" t="inlineStr">
        <is>
          <t>Déficits reportables à l'ouverture</t>
        </is>
      </c>
      <c r="B19" s="18">
        <f>0</f>
        <v/>
      </c>
      <c r="C19" s="18">
        <f>B20</f>
        <v/>
      </c>
      <c r="D19" s="18">
        <f>C20</f>
        <v/>
      </c>
    </row>
    <row r="20">
      <c r="A20" s="14" t="inlineStr">
        <is>
          <t>Déficits reportables à la clôture</t>
        </is>
      </c>
      <c r="B20" s="18">
        <f>MAX(0,B19-B9)</f>
        <v/>
      </c>
      <c r="C20" s="18">
        <f>MAX(0,C19-C9)</f>
        <v/>
      </c>
      <c r="D20" s="18">
        <f>MAX(0,D19-D9)</f>
        <v/>
      </c>
    </row>
    <row r="21">
      <c r="A21" s="14" t="inlineStr">
        <is>
          <t>Base imposable après report</t>
        </is>
      </c>
      <c r="B21" s="18">
        <f>MAX(0,B9-B19)</f>
        <v/>
      </c>
      <c r="C21" s="18">
        <f>MAX(0,C9-C19)</f>
        <v/>
      </c>
      <c r="D21" s="18">
        <f>MAX(0,D9-D19)</f>
        <v/>
      </c>
    </row>
    <row r="23">
      <c r="A23" s="12" t="inlineStr">
        <is>
          <t>Simplifications : TVA reversée le mois suivant (crédits de TVA non reportés), IS payé en une fois l'année suivante, pas d'acomptes, déficits reportables sans limite de durée sur 3 ans. Ajuste selon le pays.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Tableau de bord</t>
        </is>
      </c>
    </row>
    <row r="3">
      <c r="A3" t="inlineStr">
        <is>
          <t>ARR fin année 1</t>
        </is>
      </c>
      <c r="B3" s="10">
        <f>Annuel!B17</f>
        <v/>
      </c>
    </row>
    <row r="4">
      <c r="A4" t="inlineStr">
        <is>
          <t>ARR fin année 3</t>
        </is>
      </c>
      <c r="B4" s="10">
        <f>Annuel!D17</f>
        <v/>
      </c>
    </row>
    <row r="5">
      <c r="A5" t="inlineStr">
        <is>
          <t>Clients fin année 3</t>
        </is>
      </c>
      <c r="B5" s="20">
        <f>Annuel!D15</f>
        <v/>
      </c>
    </row>
    <row r="6">
      <c r="A6" t="inlineStr">
        <is>
          <t>Résultat net cumulé 3 ans</t>
        </is>
      </c>
      <c r="B6" s="10">
        <f>SUM(Annuel!B14:D14)</f>
        <v/>
      </c>
    </row>
    <row r="7">
      <c r="A7" t="inlineStr">
        <is>
          <t>Trésorerie la plus basse</t>
        </is>
      </c>
      <c r="B7" s="10">
        <f>MIN(Mensuel!B33:AK33)</f>
        <v/>
      </c>
    </row>
    <row r="8">
      <c r="A8" t="inlineStr">
        <is>
          <t>Mois de la trésorerie la plus basse</t>
        </is>
      </c>
      <c r="B8" s="21">
        <f>INDEX(Mensuel!B2:AK2,MATCH(MIN(Mensuel!B33:AK33),Mensuel!B33:AK33,0))</f>
        <v/>
      </c>
    </row>
    <row r="9">
      <c r="A9" t="inlineStr">
        <is>
          <t>Premier mois avec EBE positif</t>
        </is>
      </c>
      <c r="B9" s="21">
        <f>IFERROR(INDEX(Mensuel!B2:AK2,MATCH(TRUE,INDEX(Mensuel!B25:AK25&gt;0,0),0)),"Non atteint")</f>
        <v/>
      </c>
    </row>
    <row r="10">
      <c r="A10" t="inlineStr">
        <is>
          <t>LTV (ARPA × marge brute ÷ churn)</t>
        </is>
      </c>
      <c r="B10" s="10">
        <f>IF(churn_mensuel=0,"n/a",arpa_base*AVERAGE(Mensuel!M17:AK17)/churn_mensuel)</f>
        <v/>
      </c>
    </row>
    <row r="11">
      <c r="A11" t="inlineStr">
        <is>
          <t>LTV / CAC</t>
        </is>
      </c>
      <c r="B11" s="20">
        <f>IF(OR(cac=0,churn_mensuel=0),"n/a",B10/cac)</f>
        <v/>
      </c>
    </row>
    <row r="13">
      <c r="A13" s="12" t="inlineStr">
        <is>
          <t>Trésorerie négative = besoin de financement : augmente l'apport ou revois les hypothèses.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2026-10-05T10:31:51Z</dcterms:created>
  <dcterms:modified xsi:type="dcterms:W3CDTF">2026-10-05T10:31:51Z</dcterms:modified>
</cp:coreProperties>
</file>